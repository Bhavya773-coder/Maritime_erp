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server\D\General\Dhaval Joisar\GENERAL INSURANCE\"/>
    </mc:Choice>
  </mc:AlternateContent>
  <xr:revisionPtr revIDLastSave="0" documentId="13_ncr:1_{B40FC6C5-C4F5-4C31-A80F-B186420D0372}" xr6:coauthVersionLast="47" xr6:coauthVersionMax="47" xr10:uidLastSave="{00000000-0000-0000-0000-000000000000}"/>
  <bookViews>
    <workbookView xWindow="-120" yWindow="-120" windowWidth="29040" windowHeight="15720" tabRatio="785" firstSheet="2" activeTab="3" xr2:uid="{00000000-000D-0000-FFFF-FFFF00000000}"/>
  </bookViews>
  <sheets>
    <sheet name="SURVEY REPORT " sheetId="2" r:id="rId1"/>
    <sheet name="IRS SURVEY" sheetId="3" r:id="rId2"/>
    <sheet name="Sheet2" sheetId="18" r:id="rId3"/>
    <sheet name="IRS ID &amp; PASSWORD" sheetId="5" r:id="rId4"/>
    <sheet name="VHF LICENSE" sheetId="6" r:id="rId5"/>
    <sheet name=" CURRENT LOCATION AND REGISTRY " sheetId="7" r:id="rId6"/>
    <sheet name="Sheet1" sheetId="21" r:id="rId7"/>
    <sheet name="INSURANCE AND VALUATION" sheetId="9" r:id="rId8"/>
    <sheet name="Sheet3" sheetId="20" r:id="rId9"/>
    <sheet name="Sheet4" sheetId="12" r:id="rId10"/>
    <sheet name="Sheet7" sheetId="16" r:id="rId11"/>
    <sheet name="Sheet8" sheetId="17" r:id="rId12"/>
  </sheets>
  <definedNames>
    <definedName name="_xlnm._FilterDatabase" localSheetId="5" hidden="1">' CURRENT LOCATION AND REGISTRY '!#REF!</definedName>
    <definedName name="_xlnm._FilterDatabase" localSheetId="7" hidden="1">'INSURANCE AND VALUATION'!$K$1:$K$55</definedName>
    <definedName name="_xlnm._FilterDatabase" localSheetId="6" hidden="1">Sheet1!$A$1:$I$1</definedName>
    <definedName name="_xlnm._FilterDatabase" localSheetId="8" hidden="1">Sheet3!$B$1:$B$19</definedName>
    <definedName name="_xlnm._FilterDatabase" localSheetId="0" hidden="1">'SURVEY REPORT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20" l="1"/>
  <c r="G31" i="9"/>
  <c r="G30" i="9"/>
  <c r="G29" i="9"/>
  <c r="G28" i="9"/>
  <c r="G27" i="9"/>
  <c r="G26" i="9"/>
  <c r="G25" i="9"/>
  <c r="G2" i="9"/>
  <c r="G3" i="9"/>
  <c r="G4" i="9"/>
  <c r="G5" i="9"/>
  <c r="G6" i="9"/>
  <c r="G7" i="9"/>
  <c r="G8" i="9"/>
  <c r="G9" i="9"/>
  <c r="G10" i="9"/>
  <c r="G11" i="9"/>
  <c r="G12" i="9"/>
  <c r="G13" i="9"/>
  <c r="G32" i="9"/>
  <c r="G33" i="9"/>
  <c r="G34" i="9"/>
  <c r="G35" i="9"/>
  <c r="G36" i="9"/>
  <c r="G14" i="9"/>
  <c r="G15" i="9"/>
  <c r="G16" i="9"/>
  <c r="G17" i="9"/>
  <c r="G18" i="9"/>
  <c r="G19" i="9"/>
  <c r="G20" i="9"/>
  <c r="G21" i="9"/>
  <c r="G22" i="9"/>
  <c r="G23" i="9"/>
  <c r="G24" i="9"/>
  <c r="E37" i="9"/>
  <c r="F37" i="9"/>
  <c r="I37" i="9"/>
  <c r="G37" i="9" l="1"/>
  <c r="A7" i="17"/>
  <c r="A6" i="17"/>
  <c r="A5" i="17"/>
</calcChain>
</file>

<file path=xl/sharedStrings.xml><?xml version="1.0" encoding="utf-8"?>
<sst xmlns="http://schemas.openxmlformats.org/spreadsheetml/2006/main" count="1430" uniqueCount="390">
  <si>
    <t xml:space="preserve"> I.V. BARGE NAME </t>
  </si>
  <si>
    <t>NO</t>
  </si>
  <si>
    <t>CLASSIFICATION</t>
  </si>
  <si>
    <t>BULID YEARS</t>
  </si>
  <si>
    <t>NAME OF BARGES</t>
  </si>
  <si>
    <t>REGI NO.</t>
  </si>
  <si>
    <t>LENGTH</t>
  </si>
  <si>
    <t>BREADTH</t>
  </si>
  <si>
    <t>DEPTH</t>
  </si>
  <si>
    <t>GRT</t>
  </si>
  <si>
    <t>NRT</t>
  </si>
  <si>
    <t>LOCATION</t>
  </si>
  <si>
    <t>COMPANY NAME</t>
  </si>
  <si>
    <t>VALID UP TO</t>
  </si>
  <si>
    <t>REMARKS</t>
  </si>
  <si>
    <t>SPUD</t>
  </si>
  <si>
    <t>SPUD ARCADIA ASHAPURA</t>
  </si>
  <si>
    <t>GMB/GNR/34</t>
  </si>
  <si>
    <t xml:space="preserve">MUL DAWARKA </t>
  </si>
  <si>
    <t>ASTC</t>
  </si>
  <si>
    <t>MUL DAWARKA pending</t>
  </si>
  <si>
    <t>ARCADIA SPUD II</t>
  </si>
  <si>
    <t>GMB/GNR/26</t>
  </si>
  <si>
    <t>OKHA</t>
  </si>
  <si>
    <t>APPLIYED NEW APPLICATION 27-12-2021</t>
  </si>
  <si>
    <t>SPUD ARCADIA ROZI</t>
  </si>
  <si>
    <t>GMB/GNR/7</t>
  </si>
  <si>
    <t>TUG</t>
  </si>
  <si>
    <t>ARCADIA VIJAY</t>
  </si>
  <si>
    <t>BP-1058</t>
  </si>
  <si>
    <t>BEDI</t>
  </si>
  <si>
    <t>lalubhai na keva thi stop karvel che</t>
  </si>
  <si>
    <t>SP BARGE</t>
  </si>
  <si>
    <t>ROYAL KALI</t>
  </si>
  <si>
    <t>BP-1516</t>
  </si>
  <si>
    <t>AALPL</t>
  </si>
  <si>
    <t>lalubha AKBARBHAI/pending</t>
  </si>
  <si>
    <t>ARCADIA KRISHNA</t>
  </si>
  <si>
    <t>BP-1512</t>
  </si>
  <si>
    <t>MUMBAI</t>
  </si>
  <si>
    <t>ASHISH KAMDAR (REPERING)</t>
  </si>
  <si>
    <t>ARCADIA 1</t>
  </si>
  <si>
    <t>BP-1032</t>
  </si>
  <si>
    <t>MAHESHBHAI KEVATHI STOP KARVEL CHE</t>
  </si>
  <si>
    <t>DUMB BARGE</t>
  </si>
  <si>
    <t>1977/2008</t>
  </si>
  <si>
    <t>ARCADIA 8</t>
  </si>
  <si>
    <t>GMB/P/769</t>
  </si>
  <si>
    <t>ARCADIA VISHAKHA</t>
  </si>
  <si>
    <t>BP-1401</t>
  </si>
  <si>
    <t>OCEANIC</t>
  </si>
  <si>
    <t>BP-1016</t>
  </si>
  <si>
    <t>-</t>
  </si>
  <si>
    <t>MAHASAGAR</t>
  </si>
  <si>
    <t>BP-1164</t>
  </si>
  <si>
    <t>DAHEJ</t>
  </si>
  <si>
    <t>BHAI KEVATHI STOP KARVEL CHE</t>
  </si>
  <si>
    <t>CRANE BARGE</t>
  </si>
  <si>
    <t>KB 19</t>
  </si>
  <si>
    <t>JMR-0006</t>
  </si>
  <si>
    <t>RAMBILI</t>
  </si>
  <si>
    <t>ALL</t>
  </si>
  <si>
    <t xml:space="preserve">ARCADIA VARUN </t>
  </si>
  <si>
    <t>BP-1554</t>
  </si>
  <si>
    <t>SIKKA</t>
  </si>
  <si>
    <t>KB 18</t>
  </si>
  <si>
    <t>JMR-0005</t>
  </si>
  <si>
    <t>VAS</t>
  </si>
  <si>
    <t>ZARAH I</t>
  </si>
  <si>
    <t>BP-1333</t>
  </si>
  <si>
    <t>BHAVNAGAR</t>
  </si>
  <si>
    <t>SMILE</t>
  </si>
  <si>
    <t>2006/2020</t>
  </si>
  <si>
    <t>ZARAH II</t>
  </si>
  <si>
    <t>BP-1342</t>
  </si>
  <si>
    <t>CHARA</t>
  </si>
  <si>
    <t>ZARAH III</t>
  </si>
  <si>
    <t>BP-1367</t>
  </si>
  <si>
    <t>2008/2020</t>
  </si>
  <si>
    <t>ZARAH IV</t>
  </si>
  <si>
    <t>BP-1373</t>
  </si>
  <si>
    <t>KB 28</t>
  </si>
  <si>
    <t>BDR-IV-02464</t>
  </si>
  <si>
    <t>DABHOL</t>
  </si>
  <si>
    <t>ACOAL</t>
  </si>
  <si>
    <t>REGI NO</t>
  </si>
  <si>
    <t>LOCTAION</t>
  </si>
  <si>
    <t>COMPANY 
NAME</t>
  </si>
  <si>
    <t>ARCADIA SAMET</t>
  </si>
  <si>
    <t>JMR-0008</t>
  </si>
  <si>
    <t>AGLEGA</t>
  </si>
  <si>
    <t>ARCADIA SUMERU</t>
  </si>
  <si>
    <t>JMR-0013</t>
  </si>
  <si>
    <t>KB 23</t>
  </si>
  <si>
    <t>JMR-0011</t>
  </si>
  <si>
    <t>ARCADIA MINICA</t>
  </si>
  <si>
    <t>MAR-2400-D</t>
  </si>
  <si>
    <t>ARCADIA ZARAH</t>
  </si>
  <si>
    <t>MAR-2403-D</t>
  </si>
  <si>
    <t>KB 32</t>
  </si>
  <si>
    <t>MAR-2394-D</t>
  </si>
  <si>
    <t>KB 40</t>
  </si>
  <si>
    <t>MAR-2401-D</t>
  </si>
  <si>
    <t>KB 33</t>
  </si>
  <si>
    <t>KB 26</t>
  </si>
  <si>
    <t>JMR-0018</t>
  </si>
  <si>
    <t>ARCADIA SUPARSHVA</t>
  </si>
  <si>
    <t>JMR-0024</t>
  </si>
  <si>
    <t>CHHARA</t>
  </si>
  <si>
    <t>PAS</t>
  </si>
  <si>
    <t>KB 25</t>
  </si>
  <si>
    <t>JMR-0015</t>
  </si>
  <si>
    <t>ARCADIA PARSHVA</t>
  </si>
  <si>
    <t>JMR-0025</t>
  </si>
  <si>
    <t>KB 24</t>
  </si>
  <si>
    <t>JMR-0014</t>
  </si>
  <si>
    <t>MALE PORT</t>
  </si>
  <si>
    <t>kb 4</t>
  </si>
  <si>
    <t>AVM</t>
  </si>
  <si>
    <t>ARCADIA ABHINANDAN</t>
  </si>
  <si>
    <t>CRANE PONTOON 
BARGE</t>
  </si>
  <si>
    <t>REGI. NO</t>
  </si>
  <si>
    <t>SPECIAL SURVEY DUE YEARS</t>
  </si>
  <si>
    <t>INTERMIDIATE SURVEY 
2.5 YEARS</t>
  </si>
  <si>
    <t>docking survey
UNDER WATER</t>
  </si>
  <si>
    <t>owner of
company</t>
  </si>
  <si>
    <t>OVER DUE</t>
  </si>
  <si>
    <t>21-06-2023 DONE</t>
  </si>
  <si>
    <t>17-02-2024 DONE</t>
  </si>
  <si>
    <t>01-08-2024 TO 01-02-2025</t>
  </si>
  <si>
    <t>03-09-2024 TO 03-03-2025</t>
  </si>
  <si>
    <t>TO</t>
  </si>
  <si>
    <t>ARCADIA MAHAVIR</t>
  </si>
  <si>
    <t>JMR-0026</t>
  </si>
  <si>
    <t xml:space="preserve">                                                  </t>
  </si>
  <si>
    <t>no</t>
  </si>
  <si>
    <t>name of id</t>
  </si>
  <si>
    <t>irs barge password</t>
  </si>
  <si>
    <t>name of irs barge</t>
  </si>
  <si>
    <t>parul_arcadia</t>
  </si>
  <si>
    <t>p@rul@123</t>
  </si>
  <si>
    <t>kb 25</t>
  </si>
  <si>
    <t>arcadia_ship</t>
  </si>
  <si>
    <t>arc@di@123</t>
  </si>
  <si>
    <t>arcadia samet</t>
  </si>
  <si>
    <t>kb 19</t>
  </si>
  <si>
    <t>kb 33</t>
  </si>
  <si>
    <t>vinit_arcadia</t>
  </si>
  <si>
    <t>vin1t@123</t>
  </si>
  <si>
    <t>kb 18</t>
  </si>
  <si>
    <t>arvind</t>
  </si>
  <si>
    <t>arcadia sumeru</t>
  </si>
  <si>
    <t>arcadia minica</t>
  </si>
  <si>
    <t>kb 26</t>
  </si>
  <si>
    <t>arcadia parshava</t>
  </si>
  <si>
    <t>piyushships</t>
  </si>
  <si>
    <t>kb 23</t>
  </si>
  <si>
    <t>avmmarineships</t>
  </si>
  <si>
    <t>kb 32</t>
  </si>
  <si>
    <t>bedishipping</t>
  </si>
  <si>
    <t>VHF LICENSE</t>
  </si>
  <si>
    <t>SR. 
NO.</t>
  </si>
  <si>
    <t>NAME OF BARGE</t>
  </si>
  <si>
    <t>LICENSE NO</t>
  </si>
  <si>
    <t>S-111/4</t>
  </si>
  <si>
    <t>S-220/5</t>
  </si>
  <si>
    <t>S-220/6</t>
  </si>
  <si>
    <t>S-220/1</t>
  </si>
  <si>
    <t>S-111/2</t>
  </si>
  <si>
    <t>KB 4</t>
  </si>
  <si>
    <t>S-478/1</t>
  </si>
  <si>
    <t>S-111/3</t>
  </si>
  <si>
    <t>S-111/1</t>
  </si>
  <si>
    <t>CURRENT LOCATION</t>
  </si>
  <si>
    <t>BULID YEAR</t>
  </si>
  <si>
    <t>BREDTH</t>
  </si>
  <si>
    <t>MMD JAMNAGAR 
GOA , MANGLORE</t>
  </si>
  <si>
    <t>GMB JAMNAGAR
GANDINAGAR</t>
  </si>
  <si>
    <t>CHANGE COMPANY</t>
  </si>
  <si>
    <t>C.P.B</t>
  </si>
  <si>
    <t>KB 18 (ARCADIA ADINATH)</t>
  </si>
  <si>
    <t>MMD JAMNAGAR</t>
  </si>
  <si>
    <t>APIL</t>
  </si>
  <si>
    <t>KB 23 (ARCADIA SHREYANS)</t>
  </si>
  <si>
    <t>MALEPORT</t>
  </si>
  <si>
    <t>KB 25 (ARCADIA VIMAL)</t>
  </si>
  <si>
    <t>KB 26 ( ARCADIA AJIT)</t>
  </si>
  <si>
    <t>ACOL</t>
  </si>
  <si>
    <t>JMR-0016</t>
  </si>
  <si>
    <t>MMB MAHARASHTRA</t>
  </si>
  <si>
    <t>MAR-2396-D</t>
  </si>
  <si>
    <t>MMD GOA</t>
  </si>
  <si>
    <t>GMB JAMNAGAR</t>
  </si>
  <si>
    <t>KUDANKULAM</t>
  </si>
  <si>
    <t>JMR- 0025</t>
  </si>
  <si>
    <t>GMB GANDHINAGAR</t>
  </si>
  <si>
    <t>MOTABHAI NE APEL CHE</t>
  </si>
  <si>
    <t>MUL DAWARKA</t>
  </si>
  <si>
    <t>GHOGHA</t>
  </si>
  <si>
    <t>GMB JAMNAGAR AKBARBHAI</t>
  </si>
  <si>
    <t>BP-1041</t>
  </si>
  <si>
    <t>MUMBAI PARAG MADAM SIR</t>
  </si>
  <si>
    <t>MENGLORE</t>
  </si>
  <si>
    <t>MMD MANGLORE</t>
  </si>
  <si>
    <t xml:space="preserve">MANGLORE MOKALAVEL </t>
  </si>
  <si>
    <t>VALUTION
VALID
 DATE</t>
  </si>
  <si>
    <t>VALUTION 
AMOUNT</t>
  </si>
  <si>
    <t>NOTE</t>
  </si>
  <si>
    <t>UNDER 
FIVE
HUNDRED</t>
  </si>
  <si>
    <t>INSURANCE 
VALID UP 
DATE</t>
  </si>
  <si>
    <t>INSURANCE 
AMOUNT</t>
  </si>
  <si>
    <t>FIRST
INSTALLMENT</t>
  </si>
  <si>
    <t>SECOND
INSTALLMENT</t>
  </si>
  <si>
    <t>THIRD 
INSTALLMENT</t>
  </si>
  <si>
    <t>BULIT 
OF
YEARS</t>
  </si>
  <si>
    <t>INSURED
 PARTY NAME</t>
  </si>
  <si>
    <t>INSURANCE 
COMAPANY NAME</t>
  </si>
  <si>
    <t>OUR NAME
OF 
COMPANY</t>
  </si>
  <si>
    <t>ONE PORT/
WEST COST</t>
  </si>
  <si>
    <t>SPUD BARGE</t>
  </si>
  <si>
    <t>JADEJA BROTHERS</t>
  </si>
  <si>
    <t>THE NEW INDIA ASSURANCE</t>
  </si>
  <si>
    <t>WEST COST</t>
  </si>
  <si>
    <t>PONTOON</t>
  </si>
  <si>
    <t>CLIAM</t>
  </si>
  <si>
    <t>ONE PORT</t>
  </si>
  <si>
    <t>REPERING</t>
  </si>
  <si>
    <t>FULL PRIMIUM</t>
  </si>
  <si>
    <t>NATIONAL INSURANCE</t>
  </si>
  <si>
    <t>ARCADIA SPUD II                *</t>
  </si>
  <si>
    <t>ARCADIA SAMET                 *</t>
  </si>
  <si>
    <t>MAURITIUS</t>
  </si>
  <si>
    <t xml:space="preserve">KB 24  ( P &amp; I )                          </t>
  </si>
  <si>
    <t>USD</t>
  </si>
  <si>
    <t>MM MARINE</t>
  </si>
  <si>
    <t xml:space="preserve">KB 28                                </t>
  </si>
  <si>
    <t xml:space="preserve">UNITED INDIA INSURANCE  </t>
  </si>
  <si>
    <t>1996/1997</t>
  </si>
  <si>
    <t xml:space="preserve">KB 25                                       </t>
  </si>
  <si>
    <t xml:space="preserve">KB 26                                       </t>
  </si>
  <si>
    <t xml:space="preserve">ARCADIA VARUN                 </t>
  </si>
  <si>
    <t>KBSL</t>
  </si>
  <si>
    <t>NATONAL INSURANCE</t>
  </si>
  <si>
    <t xml:space="preserve">KB 24                                      </t>
  </si>
  <si>
    <t xml:space="preserve">KB 32                                   </t>
  </si>
  <si>
    <t xml:space="preserve">                      </t>
  </si>
  <si>
    <t>.</t>
  </si>
  <si>
    <t>NEW NAME</t>
  </si>
  <si>
    <t>OLD COMPANY NAME 
(SELLER COMPANY)</t>
  </si>
  <si>
    <t>NEW COMPANY NAME
(BUYER COMPANY)(LOAN)</t>
  </si>
  <si>
    <t>K.B.-32</t>
  </si>
  <si>
    <t xml:space="preserve">आर्केडिया नेमिनाथ </t>
  </si>
  <si>
    <t>ARCADIA NEMINATH</t>
  </si>
  <si>
    <t>K.B. SHIPPING AND CO</t>
  </si>
  <si>
    <t xml:space="preserve">ARVIND AND COMPANY
 SHIPPING AGENCIES LTD </t>
  </si>
  <si>
    <t xml:space="preserve">REGISTRY TRANSFER/ 
CHANGE OF NAME </t>
  </si>
  <si>
    <t>K.B.-40</t>
  </si>
  <si>
    <t xml:space="preserve">आर्केडिया शांति </t>
  </si>
  <si>
    <t>ARCADIA SHANTI</t>
  </si>
  <si>
    <t xml:space="preserve">ARCADIA LOGISTICS LTD </t>
  </si>
  <si>
    <t xml:space="preserve">ARCADIA ZARAH </t>
  </si>
  <si>
    <t>BEDI SHIPPING LTD</t>
  </si>
  <si>
    <t>COMPANY NAME CHANGE</t>
  </si>
  <si>
    <t xml:space="preserve">ARVIND AND COMPANY 
SHIPPING AGENCIES PVT LTD </t>
  </si>
  <si>
    <t xml:space="preserve">ARVIND AND COMPANY 
SHIPPING AGENCIES LTD </t>
  </si>
  <si>
    <t>K.B.-33</t>
  </si>
  <si>
    <t>आर्केडिया मल्लिनाथ</t>
  </si>
  <si>
    <t>ARCADIA MALLINATH</t>
  </si>
  <si>
    <t>ARCADIA SHIPPING AND 
TRDING COMPANY</t>
  </si>
  <si>
    <t>CHANGE OF NAME</t>
  </si>
  <si>
    <t xml:space="preserve">ESSFOUR  </t>
  </si>
  <si>
    <t>NEW REGISTRATION/
NEW COTRUCTION</t>
  </si>
  <si>
    <t>NAME</t>
  </si>
  <si>
    <t xml:space="preserve">BARGE OF NAME </t>
  </si>
  <si>
    <t>CHANGE OF NAME APPLICATION</t>
  </si>
  <si>
    <t>Rishabha (Adinath)</t>
  </si>
  <si>
    <t>KB 18/KB 19</t>
  </si>
  <si>
    <t>KB 18 APPLICATION  JAMNAGAR</t>
  </si>
  <si>
    <t>Ajitnath</t>
  </si>
  <si>
    <t>Sambhavanath</t>
  </si>
  <si>
    <t>Abhinandannath</t>
  </si>
  <si>
    <t>NEW CONTRUCTION AT GOA</t>
  </si>
  <si>
    <t>Sumatinath</t>
  </si>
  <si>
    <t>Padmabrabha</t>
  </si>
  <si>
    <t>Suparshvanath</t>
  </si>
  <si>
    <t>NEW CONTRUCTION AT SIKKA</t>
  </si>
  <si>
    <t>Chandraprabha</t>
  </si>
  <si>
    <t>Pushpadanta (Suvidhinatha)</t>
  </si>
  <si>
    <t>K.B.4</t>
  </si>
  <si>
    <t>Shiatnath</t>
  </si>
  <si>
    <t>Shreyansanath</t>
  </si>
  <si>
    <t xml:space="preserve">KB 23 APPLICATION  JAMNAGAR </t>
  </si>
  <si>
    <t>Vasupujya</t>
  </si>
  <si>
    <t>Vimalnath</t>
  </si>
  <si>
    <t>KB 25 APPLICATION JAMNAGAR</t>
  </si>
  <si>
    <t>Anantnath</t>
  </si>
  <si>
    <t>Dharmanath</t>
  </si>
  <si>
    <t>Shantinath</t>
  </si>
  <si>
    <t>Kunthunath</t>
  </si>
  <si>
    <t> Aranath</t>
  </si>
  <si>
    <t>Malinath</t>
  </si>
  <si>
    <t> Munisuvrata(Raj-grih)</t>
  </si>
  <si>
    <t>Nami Natha</t>
  </si>
  <si>
    <t>Neminatha</t>
  </si>
  <si>
    <t>Parsva Natha</t>
  </si>
  <si>
    <t>Mahavira (Vardhamana)</t>
  </si>
  <si>
    <t>JAMNAGAR MMD WORK AND PAYMENT</t>
  </si>
  <si>
    <t>WORK</t>
  </si>
  <si>
    <t xml:space="preserve">WORK </t>
  </si>
  <si>
    <t>BEHL PAYMENT</t>
  </si>
  <si>
    <t>SHIDHAR PAYMENT</t>
  </si>
  <si>
    <t>K.B.-24</t>
  </si>
  <si>
    <t>OWNERSHIP CHANGE</t>
  </si>
  <si>
    <t>COMPLETED</t>
  </si>
  <si>
    <t>K.B.-26</t>
  </si>
  <si>
    <t>K.B.-28</t>
  </si>
  <si>
    <t>K.B.24</t>
  </si>
  <si>
    <t>CHANGE OF COMPANY NAME</t>
  </si>
  <si>
    <t>K.B.-18</t>
  </si>
  <si>
    <t>CHANGE OF VESSLE NAME</t>
  </si>
  <si>
    <t>PENDING</t>
  </si>
  <si>
    <t>K.B.-23</t>
  </si>
  <si>
    <t>K.B.-25</t>
  </si>
  <si>
    <t>K.B.-19</t>
  </si>
  <si>
    <t>CARVING MARKING</t>
  </si>
  <si>
    <t>GOA MMD WORK AND PAYMENT</t>
  </si>
  <si>
    <t>OLD COMPANY NAME</t>
  </si>
  <si>
    <t>NEW COMPANY NAME</t>
  </si>
  <si>
    <t>K.B. SHIPPING AND COMPANY</t>
  </si>
  <si>
    <t>ARVIND AND COMPANY
 SHIPPING AGENCIES LIMITED</t>
  </si>
  <si>
    <t>ARCADIA LOGISTICS LIMITED</t>
  </si>
  <si>
    <t>BEDI SHIPPING LIMITED</t>
  </si>
  <si>
    <t>ARCADIA SHIPPING AND 
TRADING COMPANY</t>
  </si>
  <si>
    <t>ARVIND AND COMPANY
 SHIPPING AGENCIES PVT LIMITED</t>
  </si>
  <si>
    <t xml:space="preserve">JAMNAGAR MMD WORK </t>
  </si>
  <si>
    <t>visit surveyor again</t>
  </si>
  <si>
    <t xml:space="preserve">OWNERSHIP CHANGE
AFTER CHANGE NAME </t>
  </si>
  <si>
    <t>VINIT A SHAH</t>
  </si>
  <si>
    <t>ARVIND PORT AND INFRA LIMITED</t>
  </si>
  <si>
    <t>PARUL A SHAH</t>
  </si>
  <si>
    <t xml:space="preserve"> CHANGE OF COMPANY NAME
AFTER CHANGE NAME </t>
  </si>
  <si>
    <t xml:space="preserve">PENDING </t>
  </si>
  <si>
    <t xml:space="preserve">GOA MMD WORK </t>
  </si>
  <si>
    <t xml:space="preserve">ARVIND AND PORT INFRA LIMITED </t>
  </si>
  <si>
    <t>GPOFMS GMB LOGIN ID &amp; PASSWORD</t>
  </si>
  <si>
    <t>https://gpofms.gujarat.gov.in.</t>
  </si>
  <si>
    <t>NAME OF
COMPANY</t>
  </si>
  <si>
    <t>REQUEST
(LOGIN) ID</t>
  </si>
  <si>
    <t>PASSWORD</t>
  </si>
  <si>
    <t>E-mail
ID</t>
  </si>
  <si>
    <t>Mob.
No.</t>
  </si>
  <si>
    <t>GMB/GOG
PLD NO.</t>
  </si>
  <si>
    <t>ACO</t>
  </si>
  <si>
    <t>t_1683013390</t>
  </si>
  <si>
    <t>Aco@2025</t>
  </si>
  <si>
    <t>hardikk@arcadia.co.in</t>
  </si>
  <si>
    <t>83479 75555</t>
  </si>
  <si>
    <t>t_1683007934</t>
  </si>
  <si>
    <t>Aalpl@2025</t>
  </si>
  <si>
    <t>info@arcadia.co.in</t>
  </si>
  <si>
    <t>99134 11166</t>
  </si>
  <si>
    <t>t_1683011878</t>
  </si>
  <si>
    <t>Astc@2025</t>
  </si>
  <si>
    <t>deven@arcadia.co.in</t>
  </si>
  <si>
    <t>89800 38545</t>
  </si>
  <si>
    <t>t_1683015443</t>
  </si>
  <si>
    <t>Smile@2025</t>
  </si>
  <si>
    <t>parag@arcadia.co.in</t>
  </si>
  <si>
    <t>99137 00279</t>
  </si>
  <si>
    <t xml:space="preserve">FOURTH
INSTALLMENT </t>
  </si>
  <si>
    <t>REPRING</t>
  </si>
  <si>
    <t>SCRAP</t>
  </si>
  <si>
    <t>IDEL</t>
  </si>
  <si>
    <t>CLAIM</t>
  </si>
  <si>
    <t>IDLE</t>
  </si>
  <si>
    <t>SURVEY</t>
  </si>
  <si>
    <t>iv</t>
  </si>
  <si>
    <t>OK</t>
  </si>
  <si>
    <t xml:space="preserve">TRANSFER
TO MMB </t>
  </si>
  <si>
    <t>OK 
MMB REGISTRY</t>
  </si>
  <si>
    <t xml:space="preserve">TRANSFER TO ARVIND PORT </t>
  </si>
  <si>
    <t>p</t>
  </si>
  <si>
    <t>ARCADIA ADINATH(KB 18)</t>
  </si>
  <si>
    <t>panchal mumbai</t>
  </si>
  <si>
    <t>KAKINADA</t>
  </si>
  <si>
    <t>PIPAVAV</t>
  </si>
  <si>
    <t>BELAPUR</t>
  </si>
  <si>
    <t>BDR-IV-02545</t>
  </si>
  <si>
    <t>BP-1683</t>
  </si>
  <si>
    <t>SR.NO.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</si>
</sst>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8"/>
      <name val="Verdana"/>
      <charset val="134"/>
    </font>
    <font>
      <u/>
      <sz val="11"/>
      <color theme="10"/>
      <name val="Calibri"/>
      <charset val="134"/>
    </font>
    <font>
      <b/>
      <sz val="15"/>
      <name val="Verdana"/>
      <charset val="134"/>
    </font>
    <font>
      <sz val="15"/>
      <name val="Verdana"/>
      <charset val="134"/>
    </font>
    <font>
      <b/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11"/>
      <color rgb="FF333333"/>
      <name val="Arial"/>
      <charset val="134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i/>
      <u/>
      <sz val="28"/>
      <color theme="1"/>
      <name val="Calibri"/>
      <charset val="134"/>
      <scheme val="minor"/>
    </font>
    <font>
      <b/>
      <u/>
      <sz val="11"/>
      <color theme="10"/>
      <name val="Calibri"/>
      <charset val="134"/>
    </font>
    <font>
      <sz val="20"/>
      <color theme="1"/>
      <name val="Calibri"/>
      <charset val="134"/>
      <scheme val="minor"/>
    </font>
    <font>
      <sz val="20.5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43" fontId="19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130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2" applyFont="1" applyAlignment="1" applyProtection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3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top"/>
    </xf>
    <xf numFmtId="0" fontId="0" fillId="0" borderId="1" xfId="0" applyBorder="1"/>
    <xf numFmtId="3" fontId="0" fillId="0" borderId="0" xfId="0" applyNumberFormat="1"/>
    <xf numFmtId="0" fontId="0" fillId="0" borderId="5" xfId="0" applyBorder="1"/>
    <xf numFmtId="3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0" fontId="6" fillId="0" borderId="1" xfId="0" applyFont="1" applyBorder="1"/>
    <xf numFmtId="0" fontId="8" fillId="0" borderId="1" xfId="0" applyFont="1" applyBorder="1"/>
    <xf numFmtId="0" fontId="0" fillId="0" borderId="1" xfId="0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top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64" fontId="6" fillId="0" borderId="1" xfId="1" applyNumberFormat="1" applyFont="1" applyBorder="1" applyAlignment="1">
      <alignment horizontal="center" vertical="top" wrapText="1"/>
    </xf>
    <xf numFmtId="164" fontId="6" fillId="2" borderId="1" xfId="1" applyNumberFormat="1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14" fontId="0" fillId="0" borderId="1" xfId="0" applyNumberFormat="1" applyBorder="1"/>
    <xf numFmtId="164" fontId="0" fillId="0" borderId="1" xfId="1" applyNumberFormat="1" applyFont="1" applyFill="1" applyBorder="1"/>
    <xf numFmtId="164" fontId="0" fillId="2" borderId="1" xfId="1" applyNumberFormat="1" applyFont="1" applyFill="1" applyBorder="1"/>
    <xf numFmtId="164" fontId="0" fillId="0" borderId="1" xfId="1" applyNumberFormat="1" applyFont="1" applyFill="1" applyBorder="1" applyAlignment="1">
      <alignment vertical="top"/>
    </xf>
    <xf numFmtId="14" fontId="0" fillId="0" borderId="1" xfId="0" applyNumberFormat="1" applyBorder="1" applyAlignment="1">
      <alignment horizontal="center" vertical="top"/>
    </xf>
    <xf numFmtId="164" fontId="9" fillId="2" borderId="1" xfId="1" applyNumberFormat="1" applyFont="1" applyFill="1" applyBorder="1"/>
    <xf numFmtId="14" fontId="9" fillId="0" borderId="1" xfId="0" applyNumberFormat="1" applyFont="1" applyBorder="1" applyAlignment="1">
      <alignment horizontal="center" vertical="top"/>
    </xf>
    <xf numFmtId="14" fontId="0" fillId="0" borderId="1" xfId="0" applyNumberFormat="1" applyBorder="1" applyAlignment="1">
      <alignment vertical="top"/>
    </xf>
    <xf numFmtId="164" fontId="0" fillId="2" borderId="1" xfId="1" applyNumberFormat="1" applyFont="1" applyFill="1" applyBorder="1" applyAlignment="1">
      <alignment vertical="top"/>
    </xf>
    <xf numFmtId="0" fontId="0" fillId="2" borderId="1" xfId="0" applyFill="1" applyBorder="1" applyAlignment="1">
      <alignment vertical="top"/>
    </xf>
    <xf numFmtId="14" fontId="0" fillId="2" borderId="1" xfId="0" applyNumberFormat="1" applyFill="1" applyBorder="1" applyAlignment="1">
      <alignment vertical="top"/>
    </xf>
    <xf numFmtId="14" fontId="0" fillId="2" borderId="1" xfId="0" applyNumberFormat="1" applyFill="1" applyBorder="1" applyAlignment="1">
      <alignment horizontal="center" vertical="top"/>
    </xf>
    <xf numFmtId="164" fontId="0" fillId="2" borderId="1" xfId="1" applyNumberFormat="1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64" fontId="6" fillId="0" borderId="1" xfId="1" applyNumberFormat="1" applyFont="1" applyBorder="1" applyAlignment="1">
      <alignment vertical="top" wrapText="1"/>
    </xf>
    <xf numFmtId="164" fontId="6" fillId="2" borderId="1" xfId="0" applyNumberFormat="1" applyFont="1" applyFill="1" applyBorder="1" applyAlignment="1">
      <alignment vertical="top"/>
    </xf>
    <xf numFmtId="43" fontId="0" fillId="0" borderId="1" xfId="1" applyFont="1" applyFill="1" applyBorder="1" applyAlignment="1">
      <alignment vertical="top"/>
    </xf>
    <xf numFmtId="14" fontId="6" fillId="0" borderId="1" xfId="0" applyNumberFormat="1" applyFont="1" applyBorder="1" applyAlignment="1">
      <alignment vertical="top"/>
    </xf>
    <xf numFmtId="43" fontId="0" fillId="0" borderId="1" xfId="0" applyNumberFormat="1" applyBorder="1" applyAlignment="1">
      <alignment vertical="top"/>
    </xf>
    <xf numFmtId="43" fontId="0" fillId="2" borderId="1" xfId="1" applyFont="1" applyFill="1" applyBorder="1" applyAlignment="1">
      <alignment vertical="top"/>
    </xf>
    <xf numFmtId="43" fontId="0" fillId="0" borderId="1" xfId="1" applyFont="1" applyBorder="1" applyAlignment="1">
      <alignment vertical="top"/>
    </xf>
    <xf numFmtId="14" fontId="10" fillId="0" borderId="1" xfId="0" applyNumberFormat="1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4" fontId="6" fillId="0" borderId="1" xfId="0" applyNumberFormat="1" applyFont="1" applyBorder="1" applyAlignment="1">
      <alignment horizontal="left" vertical="top"/>
    </xf>
    <xf numFmtId="43" fontId="6" fillId="0" borderId="1" xfId="0" applyNumberFormat="1" applyFont="1" applyBorder="1" applyAlignment="1">
      <alignment vertical="top" wrapText="1"/>
    </xf>
    <xf numFmtId="14" fontId="0" fillId="0" borderId="0" xfId="0" applyNumberFormat="1" applyAlignment="1">
      <alignment vertical="top"/>
    </xf>
    <xf numFmtId="0" fontId="0" fillId="0" borderId="0" xfId="0" applyAlignment="1">
      <alignment horizontal="center" vertical="top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3" fillId="0" borderId="1" xfId="2" applyFont="1" applyBorder="1" applyAlignment="1" applyProtection="1"/>
    <xf numFmtId="0" fontId="3" fillId="0" borderId="1" xfId="2" applyBorder="1" applyAlignment="1" applyProtection="1"/>
    <xf numFmtId="0" fontId="11" fillId="0" borderId="0" xfId="0" applyFont="1"/>
    <xf numFmtId="0" fontId="0" fillId="0" borderId="0" xfId="0" applyAlignment="1">
      <alignment horizontal="left"/>
    </xf>
    <xf numFmtId="14" fontId="14" fillId="0" borderId="1" xfId="0" applyNumberFormat="1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/>
    </xf>
    <xf numFmtId="14" fontId="14" fillId="0" borderId="1" xfId="0" applyNumberFormat="1" applyFont="1" applyBorder="1" applyAlignment="1">
      <alignment horizontal="center" vertical="top"/>
    </xf>
    <xf numFmtId="0" fontId="14" fillId="0" borderId="1" xfId="0" applyFont="1" applyBorder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horizontal="center" vertical="top" wrapText="1"/>
    </xf>
    <xf numFmtId="14" fontId="15" fillId="0" borderId="1" xfId="0" applyNumberFormat="1" applyFont="1" applyBorder="1" applyAlignment="1">
      <alignment horizontal="center" vertical="top" wrapText="1"/>
    </xf>
    <xf numFmtId="0" fontId="15" fillId="0" borderId="1" xfId="0" applyFont="1" applyBorder="1"/>
    <xf numFmtId="0" fontId="0" fillId="0" borderId="1" xfId="0" applyBorder="1" applyAlignment="1">
      <alignment horizontal="left"/>
    </xf>
    <xf numFmtId="0" fontId="15" fillId="0" borderId="0" xfId="0" applyFont="1" applyAlignment="1">
      <alignment horizontal="left" vertical="top"/>
    </xf>
    <xf numFmtId="14" fontId="15" fillId="0" borderId="0" xfId="0" applyNumberFormat="1" applyFont="1" applyAlignment="1">
      <alignment horizontal="left" vertical="top"/>
    </xf>
    <xf numFmtId="0" fontId="15" fillId="0" borderId="0" xfId="0" applyFont="1"/>
    <xf numFmtId="0" fontId="15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2" fontId="11" fillId="2" borderId="1" xfId="0" applyNumberFormat="1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14" fontId="11" fillId="2" borderId="1" xfId="0" applyNumberFormat="1" applyFont="1" applyFill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4" fontId="11" fillId="0" borderId="0" xfId="0" applyNumberFormat="1" applyFont="1" applyAlignment="1">
      <alignment horizontal="left" vertical="top"/>
    </xf>
    <xf numFmtId="14" fontId="11" fillId="0" borderId="0" xfId="0" applyNumberFormat="1" applyFont="1" applyAlignment="1">
      <alignment horizontal="left"/>
    </xf>
    <xf numFmtId="14" fontId="18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1" fillId="0" borderId="1" xfId="0" applyFont="1" applyBorder="1"/>
    <xf numFmtId="0" fontId="3" fillId="0" borderId="0" xfId="2" applyAlignment="1" applyProtection="1">
      <alignment horizontal="center" vertical="center"/>
    </xf>
    <xf numFmtId="14" fontId="14" fillId="0" borderId="1" xfId="0" applyNumberFormat="1" applyFont="1" applyBorder="1" applyAlignment="1">
      <alignment vertical="top"/>
    </xf>
    <xf numFmtId="0" fontId="14" fillId="3" borderId="1" xfId="0" applyFont="1" applyFill="1" applyBorder="1" applyAlignment="1">
      <alignment horizontal="center" vertical="top"/>
    </xf>
    <xf numFmtId="0" fontId="14" fillId="3" borderId="1" xfId="0" applyFont="1" applyFill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top"/>
    </xf>
    <xf numFmtId="14" fontId="1" fillId="0" borderId="1" xfId="0" applyNumberFormat="1" applyFont="1" applyBorder="1" applyAlignment="1">
      <alignment vertical="top" wrapText="1"/>
    </xf>
    <xf numFmtId="0" fontId="20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14" fontId="0" fillId="3" borderId="1" xfId="0" applyNumberForma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top"/>
    </xf>
    <xf numFmtId="2" fontId="11" fillId="0" borderId="1" xfId="0" applyNumberFormat="1" applyFont="1" applyBorder="1" applyAlignment="1">
      <alignment horizontal="center" vertical="top"/>
    </xf>
    <xf numFmtId="0" fontId="17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4" fontId="14" fillId="0" borderId="1" xfId="0" applyNumberFormat="1" applyFont="1" applyBorder="1" applyAlignment="1">
      <alignment horizontal="center" vertical="top" wrapText="1"/>
    </xf>
    <xf numFmtId="14" fontId="14" fillId="0" borderId="1" xfId="0" applyNumberFormat="1" applyFont="1" applyBorder="1" applyAlignment="1">
      <alignment horizontal="center" vertical="top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14" fontId="14" fillId="0" borderId="2" xfId="0" applyNumberFormat="1" applyFont="1" applyBorder="1" applyAlignment="1">
      <alignment horizontal="center" vertical="top"/>
    </xf>
    <xf numFmtId="14" fontId="14" fillId="0" borderId="3" xfId="0" applyNumberFormat="1" applyFont="1" applyBorder="1" applyAlignment="1">
      <alignment horizontal="center" vertical="top"/>
    </xf>
    <xf numFmtId="14" fontId="14" fillId="0" borderId="4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2" applyAlignment="1" applyProtection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colors>
    <mruColors>
      <color rgb="FFF60AE5"/>
      <color rgb="FFDD23D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rc@di@123" TargetMode="External"/><Relationship Id="rId2" Type="http://schemas.openxmlformats.org/officeDocument/2006/relationships/hyperlink" Target="mailto:p@rul@123" TargetMode="External"/><Relationship Id="rId1" Type="http://schemas.openxmlformats.org/officeDocument/2006/relationships/hyperlink" Target="mailto:vin1t@123" TargetMode="External"/><Relationship Id="rId4" Type="http://schemas.openxmlformats.org/officeDocument/2006/relationships/hyperlink" Target="mailto:vin1t@123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Smile@2025" TargetMode="External"/><Relationship Id="rId3" Type="http://schemas.openxmlformats.org/officeDocument/2006/relationships/hyperlink" Target="mailto:Astc@2025" TargetMode="External"/><Relationship Id="rId7" Type="http://schemas.openxmlformats.org/officeDocument/2006/relationships/hyperlink" Target="mailto:parag@arcadia.co.in" TargetMode="External"/><Relationship Id="rId2" Type="http://schemas.openxmlformats.org/officeDocument/2006/relationships/hyperlink" Target="mailto:deven@arcadia.co.in" TargetMode="External"/><Relationship Id="rId1" Type="http://schemas.openxmlformats.org/officeDocument/2006/relationships/hyperlink" Target="https://gpofms.gujarat.gov.in./" TargetMode="External"/><Relationship Id="rId6" Type="http://schemas.openxmlformats.org/officeDocument/2006/relationships/hyperlink" Target="mailto:hardikk@arcadia.co.in" TargetMode="External"/><Relationship Id="rId5" Type="http://schemas.openxmlformats.org/officeDocument/2006/relationships/hyperlink" Target="mailto:Aalpl@2025" TargetMode="External"/><Relationship Id="rId4" Type="http://schemas.openxmlformats.org/officeDocument/2006/relationships/hyperlink" Target="mailto:info@arcadia.co.in" TargetMode="External"/><Relationship Id="rId9" Type="http://schemas.openxmlformats.org/officeDocument/2006/relationships/hyperlink" Target="mailto:Aco@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1"/>
  <sheetViews>
    <sheetView workbookViewId="0">
      <selection activeCell="M15" sqref="M15"/>
    </sheetView>
  </sheetViews>
  <sheetFormatPr defaultColWidth="8.85546875" defaultRowHeight="15"/>
  <cols>
    <col min="1" max="1" width="4.140625" customWidth="1"/>
    <col min="2" max="2" width="16.28515625" customWidth="1"/>
    <col min="3" max="3" width="13.42578125" customWidth="1"/>
    <col min="4" max="4" width="26.28515625" customWidth="1"/>
    <col min="5" max="5" width="13.85546875" customWidth="1"/>
    <col min="6" max="6" width="8.7109375" customWidth="1"/>
    <col min="7" max="7" width="10.140625" customWidth="1"/>
    <col min="8" max="8" width="7.42578125" customWidth="1"/>
    <col min="9" max="9" width="8.42578125" customWidth="1"/>
    <col min="10" max="10" width="7.42578125" customWidth="1"/>
    <col min="11" max="11" width="16.28515625" customWidth="1"/>
    <col min="12" max="12" width="17.7109375" customWidth="1"/>
    <col min="13" max="13" width="13.42578125" customWidth="1"/>
    <col min="14" max="14" width="40.85546875" customWidth="1"/>
    <col min="15" max="15" width="11.42578125" customWidth="1"/>
    <col min="16" max="16" width="16.7109375" customWidth="1"/>
    <col min="17" max="17" width="11.42578125" customWidth="1"/>
    <col min="18" max="18" width="12.85546875" customWidth="1"/>
    <col min="19" max="20" width="12" customWidth="1"/>
    <col min="21" max="21" width="12.42578125" customWidth="1"/>
    <col min="22" max="22" width="12" customWidth="1"/>
  </cols>
  <sheetData>
    <row r="1" spans="1:18" ht="23.25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spans="1:18" ht="14.25" customHeight="1">
      <c r="A2" s="83" t="s">
        <v>1</v>
      </c>
      <c r="B2" s="83" t="s">
        <v>2</v>
      </c>
      <c r="C2" s="83" t="s">
        <v>3</v>
      </c>
      <c r="D2" s="83" t="s">
        <v>4</v>
      </c>
      <c r="E2" s="83" t="s">
        <v>5</v>
      </c>
      <c r="F2" s="83" t="s">
        <v>6</v>
      </c>
      <c r="G2" s="83" t="s">
        <v>7</v>
      </c>
      <c r="H2" s="83" t="s">
        <v>8</v>
      </c>
      <c r="I2" s="83" t="s">
        <v>9</v>
      </c>
      <c r="J2" s="83" t="s">
        <v>10</v>
      </c>
      <c r="K2" s="85" t="s">
        <v>11</v>
      </c>
      <c r="L2" s="85" t="s">
        <v>12</v>
      </c>
      <c r="M2" s="83" t="s">
        <v>13</v>
      </c>
      <c r="N2" s="5" t="s">
        <v>14</v>
      </c>
    </row>
    <row r="3" spans="1:18" ht="15.75">
      <c r="A3" s="78">
        <v>1</v>
      </c>
      <c r="B3" s="78" t="s">
        <v>15</v>
      </c>
      <c r="C3" s="78">
        <v>2009</v>
      </c>
      <c r="D3" s="78" t="s">
        <v>16</v>
      </c>
      <c r="E3" s="78" t="s">
        <v>17</v>
      </c>
      <c r="F3" s="79">
        <v>36</v>
      </c>
      <c r="G3" s="79">
        <v>10</v>
      </c>
      <c r="H3" s="79">
        <v>2.75</v>
      </c>
      <c r="I3" s="79">
        <v>289.23</v>
      </c>
      <c r="J3" s="79">
        <v>87</v>
      </c>
      <c r="K3" s="86" t="s">
        <v>18</v>
      </c>
      <c r="L3" s="78" t="s">
        <v>19</v>
      </c>
      <c r="M3" s="80">
        <v>44542</v>
      </c>
      <c r="N3" s="87" t="s">
        <v>20</v>
      </c>
      <c r="O3" t="s">
        <v>371</v>
      </c>
    </row>
    <row r="4" spans="1:18" ht="15.75">
      <c r="A4" s="78">
        <v>2</v>
      </c>
      <c r="B4" s="78" t="s">
        <v>15</v>
      </c>
      <c r="C4" s="78">
        <v>2009</v>
      </c>
      <c r="D4" s="78" t="s">
        <v>21</v>
      </c>
      <c r="E4" s="78" t="s">
        <v>22</v>
      </c>
      <c r="F4" s="79">
        <v>36</v>
      </c>
      <c r="G4" s="79">
        <v>10</v>
      </c>
      <c r="H4" s="79">
        <v>2.75</v>
      </c>
      <c r="I4" s="79">
        <v>251.1</v>
      </c>
      <c r="J4" s="79">
        <v>75.319999999999993</v>
      </c>
      <c r="K4" s="81" t="s">
        <v>23</v>
      </c>
      <c r="L4" s="78" t="s">
        <v>19</v>
      </c>
      <c r="M4" s="80">
        <v>44562</v>
      </c>
      <c r="N4" s="88" t="s">
        <v>24</v>
      </c>
      <c r="O4" t="s">
        <v>371</v>
      </c>
    </row>
    <row r="5" spans="1:18" ht="15.75">
      <c r="A5" s="78">
        <v>3</v>
      </c>
      <c r="B5" s="78" t="s">
        <v>15</v>
      </c>
      <c r="C5" s="78">
        <v>2009</v>
      </c>
      <c r="D5" s="78" t="s">
        <v>25</v>
      </c>
      <c r="E5" s="78" t="s">
        <v>26</v>
      </c>
      <c r="F5" s="79">
        <v>38.299999999999997</v>
      </c>
      <c r="G5" s="79">
        <v>10</v>
      </c>
      <c r="H5" s="79">
        <v>2.7</v>
      </c>
      <c r="I5" s="79">
        <v>343</v>
      </c>
      <c r="J5" s="79">
        <v>192</v>
      </c>
      <c r="K5" s="81" t="s">
        <v>23</v>
      </c>
      <c r="L5" s="78" t="s">
        <v>19</v>
      </c>
      <c r="M5" s="80">
        <v>44599</v>
      </c>
      <c r="N5" s="88" t="s">
        <v>24</v>
      </c>
      <c r="O5" t="s">
        <v>371</v>
      </c>
    </row>
    <row r="6" spans="1:18" ht="15.75">
      <c r="A6" s="78">
        <v>4</v>
      </c>
      <c r="B6" s="78" t="s">
        <v>27</v>
      </c>
      <c r="C6" s="78">
        <v>1997</v>
      </c>
      <c r="D6" s="78" t="s">
        <v>28</v>
      </c>
      <c r="E6" s="78" t="s">
        <v>29</v>
      </c>
      <c r="F6" s="79">
        <v>15</v>
      </c>
      <c r="G6" s="79">
        <v>5</v>
      </c>
      <c r="H6" s="79">
        <v>2.75</v>
      </c>
      <c r="I6" s="79">
        <v>65.81</v>
      </c>
      <c r="J6" s="79">
        <v>9.67</v>
      </c>
      <c r="K6" s="81" t="s">
        <v>30</v>
      </c>
      <c r="L6" s="78" t="s">
        <v>19</v>
      </c>
      <c r="M6" s="80">
        <v>44611</v>
      </c>
      <c r="N6" s="89" t="s">
        <v>31</v>
      </c>
      <c r="O6" t="s">
        <v>370</v>
      </c>
    </row>
    <row r="7" spans="1:18" ht="15.75">
      <c r="A7" s="78">
        <v>5</v>
      </c>
      <c r="B7" s="78" t="s">
        <v>32</v>
      </c>
      <c r="C7" s="78">
        <v>1997</v>
      </c>
      <c r="D7" s="78" t="s">
        <v>33</v>
      </c>
      <c r="E7" s="78" t="s">
        <v>34</v>
      </c>
      <c r="F7" s="79">
        <v>65</v>
      </c>
      <c r="G7" s="79">
        <v>12.3</v>
      </c>
      <c r="H7" s="79">
        <v>4</v>
      </c>
      <c r="I7" s="79">
        <v>1014</v>
      </c>
      <c r="J7" s="79">
        <v>867</v>
      </c>
      <c r="K7" s="81" t="s">
        <v>30</v>
      </c>
      <c r="L7" s="78" t="s">
        <v>35</v>
      </c>
      <c r="M7" s="80">
        <v>44820</v>
      </c>
      <c r="N7" s="88" t="s">
        <v>36</v>
      </c>
      <c r="O7" t="s">
        <v>371</v>
      </c>
    </row>
    <row r="8" spans="1:18" ht="15.75">
      <c r="A8" s="78">
        <v>6</v>
      </c>
      <c r="B8" s="78" t="s">
        <v>27</v>
      </c>
      <c r="C8" s="78">
        <v>1991</v>
      </c>
      <c r="D8" s="78" t="s">
        <v>37</v>
      </c>
      <c r="E8" s="78" t="s">
        <v>38</v>
      </c>
      <c r="F8" s="79">
        <v>19.93</v>
      </c>
      <c r="G8" s="79">
        <v>6.4</v>
      </c>
      <c r="H8" s="79">
        <v>4</v>
      </c>
      <c r="I8" s="79">
        <v>93</v>
      </c>
      <c r="J8" s="79">
        <v>28</v>
      </c>
      <c r="K8" s="81" t="s">
        <v>39</v>
      </c>
      <c r="L8" s="78" t="s">
        <v>19</v>
      </c>
      <c r="M8" s="80">
        <v>44853</v>
      </c>
      <c r="N8" s="89" t="s">
        <v>40</v>
      </c>
    </row>
    <row r="9" spans="1:18" ht="15.75">
      <c r="A9" s="78">
        <v>7</v>
      </c>
      <c r="B9" s="78" t="s">
        <v>27</v>
      </c>
      <c r="C9" s="78">
        <v>1997</v>
      </c>
      <c r="D9" s="78" t="s">
        <v>41</v>
      </c>
      <c r="E9" s="78" t="s">
        <v>42</v>
      </c>
      <c r="F9" s="79">
        <v>15.25</v>
      </c>
      <c r="G9" s="79">
        <v>5</v>
      </c>
      <c r="H9" s="79">
        <v>2.35</v>
      </c>
      <c r="I9" s="79">
        <v>43.6</v>
      </c>
      <c r="J9" s="79">
        <v>32.200000000000003</v>
      </c>
      <c r="K9" s="81" t="s">
        <v>18</v>
      </c>
      <c r="L9" s="78" t="s">
        <v>19</v>
      </c>
      <c r="M9" s="80">
        <v>44923</v>
      </c>
      <c r="N9" s="89" t="s">
        <v>43</v>
      </c>
      <c r="O9" t="s">
        <v>372</v>
      </c>
    </row>
    <row r="10" spans="1:18" ht="15.75">
      <c r="A10" s="78">
        <v>8</v>
      </c>
      <c r="B10" s="78" t="s">
        <v>44</v>
      </c>
      <c r="C10" s="78" t="s">
        <v>45</v>
      </c>
      <c r="D10" s="78" t="s">
        <v>46</v>
      </c>
      <c r="E10" s="78" t="s">
        <v>47</v>
      </c>
      <c r="F10" s="79">
        <v>33.5</v>
      </c>
      <c r="G10" s="79">
        <v>9.6999999999999993</v>
      </c>
      <c r="H10" s="79">
        <v>2.13</v>
      </c>
      <c r="I10" s="79">
        <v>165.73</v>
      </c>
      <c r="J10" s="79">
        <v>165.73</v>
      </c>
      <c r="K10" s="82" t="s">
        <v>23</v>
      </c>
      <c r="L10" s="78" t="s">
        <v>19</v>
      </c>
      <c r="M10" s="80">
        <v>44989</v>
      </c>
      <c r="N10" s="58"/>
      <c r="O10" t="s">
        <v>373</v>
      </c>
    </row>
    <row r="11" spans="1:18" ht="15.75">
      <c r="A11" s="78">
        <v>9</v>
      </c>
      <c r="B11" s="78" t="s">
        <v>27</v>
      </c>
      <c r="C11" s="78">
        <v>2008</v>
      </c>
      <c r="D11" s="78" t="s">
        <v>48</v>
      </c>
      <c r="E11" s="78" t="s">
        <v>49</v>
      </c>
      <c r="F11" s="79">
        <v>20</v>
      </c>
      <c r="G11" s="79">
        <v>6</v>
      </c>
      <c r="H11" s="79">
        <v>2.8</v>
      </c>
      <c r="I11" s="79">
        <v>74</v>
      </c>
      <c r="J11" s="79">
        <v>22</v>
      </c>
      <c r="K11" s="82" t="s">
        <v>39</v>
      </c>
      <c r="L11" s="78" t="s">
        <v>19</v>
      </c>
      <c r="M11" s="80">
        <v>45517</v>
      </c>
      <c r="N11" s="58"/>
    </row>
    <row r="12" spans="1:18" ht="15.75">
      <c r="A12" s="78">
        <v>10</v>
      </c>
      <c r="B12" s="78" t="s">
        <v>44</v>
      </c>
      <c r="C12" s="78">
        <v>1996</v>
      </c>
      <c r="D12" s="78" t="s">
        <v>50</v>
      </c>
      <c r="E12" s="78" t="s">
        <v>51</v>
      </c>
      <c r="F12" s="84">
        <v>40.4</v>
      </c>
      <c r="G12" s="84">
        <v>10</v>
      </c>
      <c r="H12" s="84">
        <v>2.8</v>
      </c>
      <c r="I12" s="84">
        <v>461.44</v>
      </c>
      <c r="J12" s="84" t="s">
        <v>52</v>
      </c>
      <c r="K12" s="82" t="s">
        <v>39</v>
      </c>
      <c r="L12" s="78" t="s">
        <v>19</v>
      </c>
      <c r="M12" s="86">
        <v>45220</v>
      </c>
      <c r="N12" s="58"/>
      <c r="O12" t="s">
        <v>374</v>
      </c>
    </row>
    <row r="13" spans="1:18" ht="15.75">
      <c r="A13" s="78">
        <v>11</v>
      </c>
      <c r="B13" s="78" t="s">
        <v>44</v>
      </c>
      <c r="C13" s="78">
        <v>1999</v>
      </c>
      <c r="D13" s="78" t="s">
        <v>53</v>
      </c>
      <c r="E13" s="78" t="s">
        <v>54</v>
      </c>
      <c r="F13" s="79">
        <v>36.5</v>
      </c>
      <c r="G13" s="79">
        <v>9.9</v>
      </c>
      <c r="H13" s="79">
        <v>2.75</v>
      </c>
      <c r="I13" s="79">
        <v>486</v>
      </c>
      <c r="J13" s="79" t="s">
        <v>52</v>
      </c>
      <c r="K13" s="81" t="s">
        <v>55</v>
      </c>
      <c r="L13" s="78" t="s">
        <v>19</v>
      </c>
      <c r="M13" s="80">
        <v>45282</v>
      </c>
      <c r="N13" s="89" t="s">
        <v>56</v>
      </c>
      <c r="O13" t="s">
        <v>372</v>
      </c>
    </row>
    <row r="14" spans="1:18" ht="15.75">
      <c r="A14" s="78">
        <v>12</v>
      </c>
      <c r="B14" s="78" t="s">
        <v>57</v>
      </c>
      <c r="C14" s="78">
        <v>2019</v>
      </c>
      <c r="D14" s="78" t="s">
        <v>62</v>
      </c>
      <c r="E14" s="78" t="s">
        <v>63</v>
      </c>
      <c r="F14" s="79">
        <v>46.4</v>
      </c>
      <c r="G14" s="79">
        <v>18</v>
      </c>
      <c r="H14" s="79">
        <v>3</v>
      </c>
      <c r="I14" s="79">
        <v>633.76900000000001</v>
      </c>
      <c r="J14" s="79">
        <v>190</v>
      </c>
      <c r="K14" s="82" t="s">
        <v>64</v>
      </c>
      <c r="L14" s="78" t="s">
        <v>19</v>
      </c>
      <c r="M14" s="80">
        <v>45637</v>
      </c>
      <c r="N14" s="78"/>
      <c r="O14" s="91" t="s">
        <v>226</v>
      </c>
      <c r="P14" s="90"/>
      <c r="Q14" s="90"/>
      <c r="R14" s="62"/>
    </row>
    <row r="15" spans="1:18" ht="15.75">
      <c r="A15" s="78">
        <v>13</v>
      </c>
      <c r="B15" s="78" t="s">
        <v>57</v>
      </c>
      <c r="C15" s="78">
        <v>2017</v>
      </c>
      <c r="D15" s="78" t="s">
        <v>65</v>
      </c>
      <c r="E15" s="78" t="s">
        <v>66</v>
      </c>
      <c r="F15" s="79">
        <v>50</v>
      </c>
      <c r="G15" s="79">
        <v>15</v>
      </c>
      <c r="H15" s="79">
        <v>3</v>
      </c>
      <c r="I15" s="79">
        <v>564</v>
      </c>
      <c r="J15" s="79">
        <v>169</v>
      </c>
      <c r="K15" s="82" t="s">
        <v>64</v>
      </c>
      <c r="L15" s="78" t="s">
        <v>67</v>
      </c>
      <c r="M15" s="80">
        <v>45637</v>
      </c>
      <c r="N15" s="58"/>
      <c r="O15" t="s">
        <v>226</v>
      </c>
    </row>
    <row r="16" spans="1:18" ht="15.75">
      <c r="A16" s="78">
        <v>14</v>
      </c>
      <c r="B16" s="78" t="s">
        <v>32</v>
      </c>
      <c r="C16" s="78">
        <v>2006</v>
      </c>
      <c r="D16" s="78" t="s">
        <v>68</v>
      </c>
      <c r="E16" s="78" t="s">
        <v>69</v>
      </c>
      <c r="F16" s="79">
        <v>60</v>
      </c>
      <c r="G16" s="79">
        <v>12</v>
      </c>
      <c r="H16" s="79">
        <v>4</v>
      </c>
      <c r="I16" s="79">
        <v>741</v>
      </c>
      <c r="J16" s="79">
        <v>459</v>
      </c>
      <c r="K16" s="81" t="s">
        <v>70</v>
      </c>
      <c r="L16" s="78" t="s">
        <v>71</v>
      </c>
      <c r="M16" s="80">
        <v>45702</v>
      </c>
      <c r="N16" s="78"/>
    </row>
    <row r="17" spans="1:18" ht="15.75">
      <c r="A17" s="78">
        <v>15</v>
      </c>
      <c r="B17" s="78" t="s">
        <v>32</v>
      </c>
      <c r="C17" s="78" t="s">
        <v>72</v>
      </c>
      <c r="D17" s="78" t="s">
        <v>73</v>
      </c>
      <c r="E17" s="78" t="s">
        <v>74</v>
      </c>
      <c r="F17" s="79">
        <v>60</v>
      </c>
      <c r="G17" s="79">
        <v>12.5</v>
      </c>
      <c r="H17" s="79">
        <v>4</v>
      </c>
      <c r="I17" s="79">
        <v>757</v>
      </c>
      <c r="J17" s="79">
        <v>405</v>
      </c>
      <c r="K17" s="81" t="s">
        <v>75</v>
      </c>
      <c r="L17" s="78" t="s">
        <v>35</v>
      </c>
      <c r="M17" s="80">
        <v>45702</v>
      </c>
      <c r="N17" s="58"/>
    </row>
    <row r="18" spans="1:18" ht="15.75">
      <c r="A18" s="78">
        <v>16</v>
      </c>
      <c r="B18" s="78" t="s">
        <v>32</v>
      </c>
      <c r="C18" s="78">
        <v>2006</v>
      </c>
      <c r="D18" s="78" t="s">
        <v>76</v>
      </c>
      <c r="E18" s="78" t="s">
        <v>77</v>
      </c>
      <c r="F18" s="79">
        <v>60</v>
      </c>
      <c r="G18" s="79">
        <v>12.5</v>
      </c>
      <c r="H18" s="79">
        <v>4</v>
      </c>
      <c r="I18" s="79">
        <v>741</v>
      </c>
      <c r="J18" s="79">
        <v>459</v>
      </c>
      <c r="K18" s="81" t="s">
        <v>75</v>
      </c>
      <c r="L18" s="78" t="s">
        <v>35</v>
      </c>
      <c r="M18" s="80">
        <v>45702</v>
      </c>
      <c r="N18" s="78"/>
    </row>
    <row r="19" spans="1:18" ht="15.75">
      <c r="A19" s="78">
        <v>17</v>
      </c>
      <c r="B19" s="78" t="s">
        <v>32</v>
      </c>
      <c r="C19" s="78" t="s">
        <v>78</v>
      </c>
      <c r="D19" s="78" t="s">
        <v>79</v>
      </c>
      <c r="E19" s="78" t="s">
        <v>80</v>
      </c>
      <c r="F19" s="79">
        <v>60</v>
      </c>
      <c r="G19" s="79">
        <v>12.5</v>
      </c>
      <c r="H19" s="79">
        <v>4</v>
      </c>
      <c r="I19" s="79">
        <v>757</v>
      </c>
      <c r="J19" s="79">
        <v>405</v>
      </c>
      <c r="K19" s="81" t="s">
        <v>75</v>
      </c>
      <c r="L19" s="78" t="s">
        <v>35</v>
      </c>
      <c r="M19" s="92">
        <v>45702</v>
      </c>
      <c r="N19" s="58"/>
    </row>
    <row r="20" spans="1:18">
      <c r="O20" t="s">
        <v>375</v>
      </c>
    </row>
    <row r="21" spans="1:18" ht="15.75">
      <c r="A21" s="78">
        <v>19</v>
      </c>
      <c r="B21" s="78" t="s">
        <v>57</v>
      </c>
      <c r="C21" s="78">
        <v>2018</v>
      </c>
      <c r="D21" s="78" t="s">
        <v>58</v>
      </c>
      <c r="E21" s="78" t="s">
        <v>59</v>
      </c>
      <c r="F21" s="79">
        <v>50</v>
      </c>
      <c r="G21" s="79">
        <v>15</v>
      </c>
      <c r="H21" s="79">
        <v>3</v>
      </c>
      <c r="I21" s="79">
        <v>564</v>
      </c>
      <c r="J21" s="79">
        <v>170</v>
      </c>
      <c r="K21" s="81" t="s">
        <v>60</v>
      </c>
      <c r="L21" s="78" t="s">
        <v>61</v>
      </c>
      <c r="M21" s="80">
        <v>45917</v>
      </c>
      <c r="N21" s="58"/>
      <c r="O21" s="90"/>
      <c r="P21" s="90"/>
      <c r="Q21" s="90"/>
      <c r="R21" s="62"/>
    </row>
  </sheetData>
  <mergeCells count="1">
    <mergeCell ref="A1:N1"/>
  </mergeCells>
  <pageMargins left="0.70866141732283505" right="0.70866141732283505" top="0.74803149606299202" bottom="0.74803149606299202" header="0.31496062992126" footer="0.31496062992126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7"/>
  <sheetViews>
    <sheetView zoomScale="84" zoomScaleNormal="84" workbookViewId="0">
      <selection activeCell="G18" sqref="G18"/>
    </sheetView>
  </sheetViews>
  <sheetFormatPr defaultColWidth="8.85546875" defaultRowHeight="15"/>
  <cols>
    <col min="1" max="1" width="6.42578125" customWidth="1"/>
    <col min="2" max="2" width="34.85546875" customWidth="1"/>
    <col min="3" max="3" width="20.85546875" customWidth="1"/>
    <col min="4" max="4" width="21.28515625" customWidth="1"/>
    <col min="5" max="5" width="19.140625" customWidth="1"/>
    <col min="6" max="6" width="5.28515625" customWidth="1"/>
    <col min="7" max="7" width="19" style="63" customWidth="1"/>
    <col min="8" max="8" width="18.85546875" customWidth="1"/>
    <col min="9" max="9" width="6" customWidth="1"/>
    <col min="10" max="10" width="18.7109375" customWidth="1"/>
    <col min="11" max="11" width="24.7109375" customWidth="1"/>
    <col min="12" max="12" width="15.85546875" customWidth="1"/>
    <col min="13" max="13" width="19.28515625" customWidth="1"/>
  </cols>
  <sheetData>
    <row r="1" spans="1:13" ht="56.25" customHeight="1">
      <c r="A1" s="64" t="s">
        <v>1</v>
      </c>
      <c r="B1" s="64" t="s">
        <v>120</v>
      </c>
      <c r="C1" s="64" t="s">
        <v>121</v>
      </c>
      <c r="D1" s="64" t="s">
        <v>122</v>
      </c>
      <c r="E1" s="114" t="s">
        <v>123</v>
      </c>
      <c r="F1" s="114"/>
      <c r="G1" s="114"/>
      <c r="H1" s="114"/>
      <c r="I1" s="114"/>
      <c r="J1" s="114"/>
      <c r="K1" s="64" t="s">
        <v>124</v>
      </c>
      <c r="L1" s="64" t="s">
        <v>125</v>
      </c>
      <c r="M1" s="64" t="s">
        <v>86</v>
      </c>
    </row>
    <row r="2" spans="1:13" ht="27.75" customHeight="1">
      <c r="A2" s="65">
        <v>1</v>
      </c>
      <c r="B2" s="65" t="s">
        <v>88</v>
      </c>
      <c r="C2" s="65" t="s">
        <v>89</v>
      </c>
      <c r="D2" s="66">
        <v>45385</v>
      </c>
      <c r="E2" s="115" t="s">
        <v>126</v>
      </c>
      <c r="F2" s="115"/>
      <c r="G2" s="115"/>
      <c r="H2" s="115"/>
      <c r="I2" s="115"/>
      <c r="J2" s="115"/>
      <c r="K2" s="66">
        <v>44654</v>
      </c>
      <c r="L2" s="67" t="s">
        <v>19</v>
      </c>
      <c r="M2" s="67" t="s">
        <v>90</v>
      </c>
    </row>
    <row r="3" spans="1:13" ht="29.25" customHeight="1">
      <c r="A3" s="65">
        <v>2</v>
      </c>
      <c r="B3" s="65" t="s">
        <v>110</v>
      </c>
      <c r="C3" s="65" t="s">
        <v>111</v>
      </c>
      <c r="D3" s="66">
        <v>45735</v>
      </c>
      <c r="E3" s="113" t="s">
        <v>127</v>
      </c>
      <c r="F3" s="113"/>
      <c r="G3" s="113"/>
      <c r="H3" s="113"/>
      <c r="I3" s="113"/>
      <c r="J3" s="113"/>
      <c r="K3" s="68">
        <v>45735</v>
      </c>
      <c r="L3" s="67" t="s">
        <v>109</v>
      </c>
      <c r="M3" s="67" t="s">
        <v>83</v>
      </c>
    </row>
    <row r="4" spans="1:13" ht="26.25">
      <c r="A4" s="65">
        <v>3</v>
      </c>
      <c r="B4" s="65" t="s">
        <v>91</v>
      </c>
      <c r="C4" s="65" t="s">
        <v>92</v>
      </c>
      <c r="D4" s="66">
        <v>46011</v>
      </c>
      <c r="E4" s="115" t="s">
        <v>126</v>
      </c>
      <c r="F4" s="115"/>
      <c r="G4" s="115"/>
      <c r="H4" s="115"/>
      <c r="I4" s="115"/>
      <c r="J4" s="115"/>
      <c r="K4" s="68">
        <v>45280</v>
      </c>
      <c r="L4" s="67" t="s">
        <v>84</v>
      </c>
      <c r="M4" s="67" t="s">
        <v>83</v>
      </c>
    </row>
    <row r="5" spans="1:13" ht="26.25">
      <c r="A5" s="65">
        <v>5</v>
      </c>
      <c r="B5" s="65" t="s">
        <v>104</v>
      </c>
      <c r="C5" s="65" t="s">
        <v>105</v>
      </c>
      <c r="D5" s="66">
        <v>46028</v>
      </c>
      <c r="E5" s="113" t="s">
        <v>128</v>
      </c>
      <c r="F5" s="113"/>
      <c r="G5" s="113"/>
      <c r="H5" s="113"/>
      <c r="I5" s="113"/>
      <c r="J5" s="113"/>
      <c r="K5" s="68">
        <v>46028</v>
      </c>
      <c r="L5" s="67" t="s">
        <v>84</v>
      </c>
      <c r="M5" s="67" t="s">
        <v>64</v>
      </c>
    </row>
    <row r="6" spans="1:13" ht="26.25">
      <c r="A6" s="65">
        <v>6</v>
      </c>
      <c r="B6" s="65" t="s">
        <v>99</v>
      </c>
      <c r="C6" s="65" t="s">
        <v>100</v>
      </c>
      <c r="D6" s="66">
        <v>46327</v>
      </c>
      <c r="E6" s="113" t="s">
        <v>129</v>
      </c>
      <c r="F6" s="113"/>
      <c r="G6" s="113"/>
      <c r="H6" s="113"/>
      <c r="I6" s="113"/>
      <c r="J6" s="113"/>
      <c r="K6" s="68">
        <v>45597</v>
      </c>
      <c r="L6" s="67" t="s">
        <v>84</v>
      </c>
      <c r="M6" s="67" t="s">
        <v>83</v>
      </c>
    </row>
    <row r="7" spans="1:13" ht="26.25">
      <c r="A7" s="65">
        <v>7</v>
      </c>
      <c r="B7" s="65" t="s">
        <v>103</v>
      </c>
      <c r="C7" s="65" t="s">
        <v>100</v>
      </c>
      <c r="D7" s="66">
        <v>46359</v>
      </c>
      <c r="E7" s="113" t="s">
        <v>130</v>
      </c>
      <c r="F7" s="113"/>
      <c r="G7" s="113"/>
      <c r="H7" s="113"/>
      <c r="I7" s="113"/>
      <c r="J7" s="113"/>
      <c r="K7" s="68">
        <v>45629</v>
      </c>
      <c r="L7" s="67" t="s">
        <v>19</v>
      </c>
      <c r="M7" s="67" t="s">
        <v>39</v>
      </c>
    </row>
    <row r="8" spans="1:13" ht="26.25">
      <c r="A8" s="65">
        <v>8</v>
      </c>
      <c r="B8" s="65" t="s">
        <v>114</v>
      </c>
      <c r="C8" s="65" t="s">
        <v>115</v>
      </c>
      <c r="D8" s="66">
        <v>46536</v>
      </c>
      <c r="E8" s="68">
        <v>45351</v>
      </c>
      <c r="F8" s="67" t="s">
        <v>131</v>
      </c>
      <c r="G8" s="68">
        <v>45533</v>
      </c>
      <c r="H8" s="68">
        <v>45716</v>
      </c>
      <c r="I8" s="67" t="s">
        <v>131</v>
      </c>
      <c r="J8" s="68">
        <v>45898</v>
      </c>
      <c r="K8" s="68">
        <v>45806</v>
      </c>
      <c r="L8" s="67" t="s">
        <v>61</v>
      </c>
      <c r="M8" s="67" t="s">
        <v>116</v>
      </c>
    </row>
    <row r="9" spans="1:13" ht="26.25">
      <c r="A9" s="65">
        <v>9</v>
      </c>
      <c r="B9" s="65" t="s">
        <v>95</v>
      </c>
      <c r="C9" s="65" t="s">
        <v>96</v>
      </c>
      <c r="D9" s="66">
        <v>46662</v>
      </c>
      <c r="E9" s="68">
        <v>45475</v>
      </c>
      <c r="F9" s="67" t="s">
        <v>131</v>
      </c>
      <c r="G9" s="68">
        <v>45659</v>
      </c>
      <c r="H9" s="68">
        <v>45840</v>
      </c>
      <c r="I9" s="67" t="s">
        <v>131</v>
      </c>
      <c r="J9" s="68">
        <v>46024</v>
      </c>
      <c r="K9" s="68">
        <v>45932</v>
      </c>
      <c r="L9" s="67" t="s">
        <v>84</v>
      </c>
      <c r="M9" s="67" t="s">
        <v>39</v>
      </c>
    </row>
    <row r="10" spans="1:13" ht="26.25">
      <c r="A10" s="65">
        <v>10</v>
      </c>
      <c r="B10" s="99" t="s">
        <v>97</v>
      </c>
      <c r="C10" s="65" t="s">
        <v>98</v>
      </c>
      <c r="D10" s="66">
        <v>46672</v>
      </c>
      <c r="E10" s="68">
        <v>45485</v>
      </c>
      <c r="F10" s="67" t="s">
        <v>131</v>
      </c>
      <c r="G10" s="68">
        <v>45669</v>
      </c>
      <c r="H10" s="68">
        <v>45850</v>
      </c>
      <c r="I10" s="67" t="s">
        <v>131</v>
      </c>
      <c r="J10" s="68">
        <v>46034</v>
      </c>
      <c r="K10" s="68">
        <v>45942</v>
      </c>
      <c r="L10" s="67" t="s">
        <v>61</v>
      </c>
      <c r="M10" s="67" t="s">
        <v>83</v>
      </c>
    </row>
    <row r="11" spans="1:13" ht="26.25">
      <c r="A11" s="65">
        <v>11</v>
      </c>
      <c r="B11" s="100" t="s">
        <v>101</v>
      </c>
      <c r="C11" s="67" t="s">
        <v>102</v>
      </c>
      <c r="D11" s="66">
        <v>46715</v>
      </c>
      <c r="E11" s="66">
        <v>45528</v>
      </c>
      <c r="F11" s="67" t="s">
        <v>131</v>
      </c>
      <c r="G11" s="66">
        <v>45712</v>
      </c>
      <c r="H11" s="66">
        <v>45893</v>
      </c>
      <c r="I11" s="67" t="s">
        <v>131</v>
      </c>
      <c r="J11" s="66">
        <v>46077</v>
      </c>
      <c r="K11" s="66">
        <v>45985</v>
      </c>
      <c r="L11" s="67" t="s">
        <v>61</v>
      </c>
      <c r="M11" s="67" t="s">
        <v>83</v>
      </c>
    </row>
    <row r="12" spans="1:13" ht="28.5" customHeight="1">
      <c r="A12" s="65">
        <v>12</v>
      </c>
      <c r="B12" s="65" t="s">
        <v>106</v>
      </c>
      <c r="C12" s="67" t="s">
        <v>107</v>
      </c>
      <c r="D12" s="66">
        <v>47116</v>
      </c>
      <c r="E12" s="68">
        <v>45929</v>
      </c>
      <c r="F12" s="67" t="s">
        <v>131</v>
      </c>
      <c r="G12" s="68">
        <v>46110</v>
      </c>
      <c r="H12" s="68">
        <v>45837</v>
      </c>
      <c r="I12" s="67" t="s">
        <v>131</v>
      </c>
      <c r="J12" s="68">
        <v>45745</v>
      </c>
      <c r="K12" s="68">
        <v>46385</v>
      </c>
      <c r="L12" s="67" t="s">
        <v>109</v>
      </c>
      <c r="M12" s="67" t="s">
        <v>108</v>
      </c>
    </row>
    <row r="13" spans="1:13" ht="25.5" customHeight="1">
      <c r="A13" s="65">
        <v>13</v>
      </c>
      <c r="B13" s="65" t="s">
        <v>112</v>
      </c>
      <c r="C13" s="65" t="s">
        <v>113</v>
      </c>
      <c r="D13" s="66">
        <v>47202</v>
      </c>
      <c r="E13" s="68">
        <v>46016</v>
      </c>
      <c r="F13" s="67" t="s">
        <v>131</v>
      </c>
      <c r="G13" s="68">
        <v>46198</v>
      </c>
      <c r="H13" s="68">
        <v>46381</v>
      </c>
      <c r="I13" s="67" t="s">
        <v>131</v>
      </c>
      <c r="J13" s="68">
        <v>46563</v>
      </c>
      <c r="K13" s="68">
        <v>46471</v>
      </c>
      <c r="L13" s="67" t="s">
        <v>84</v>
      </c>
      <c r="M13" s="67" t="s">
        <v>64</v>
      </c>
    </row>
    <row r="14" spans="1:13" ht="26.25">
      <c r="A14" s="69">
        <v>14</v>
      </c>
      <c r="B14" s="70" t="s">
        <v>132</v>
      </c>
      <c r="C14" s="70" t="s">
        <v>133</v>
      </c>
      <c r="D14" s="71">
        <v>47428</v>
      </c>
      <c r="E14" s="70"/>
      <c r="F14" s="72"/>
      <c r="G14" s="73" t="s">
        <v>134</v>
      </c>
      <c r="H14" s="11"/>
      <c r="I14" s="11"/>
      <c r="J14" s="11"/>
      <c r="K14" s="11"/>
      <c r="L14" s="11"/>
      <c r="M14" s="11"/>
    </row>
    <row r="15" spans="1:13" ht="26.25">
      <c r="A15" s="74"/>
      <c r="B15" s="74"/>
      <c r="C15" s="75"/>
      <c r="D15" s="75"/>
      <c r="E15" s="74"/>
      <c r="F15" s="76"/>
    </row>
    <row r="16" spans="1:13" ht="26.25">
      <c r="A16" s="74"/>
      <c r="B16" s="74"/>
      <c r="C16" s="75"/>
      <c r="D16" s="75"/>
      <c r="E16" s="74"/>
      <c r="F16" s="76"/>
    </row>
    <row r="17" spans="1:6" ht="26.25">
      <c r="A17" s="74"/>
      <c r="B17" s="74"/>
      <c r="C17" s="75"/>
      <c r="D17" s="75"/>
      <c r="E17" s="74"/>
      <c r="F17" s="76"/>
    </row>
    <row r="18" spans="1:6" ht="26.25">
      <c r="A18" s="74"/>
      <c r="B18" s="74"/>
      <c r="C18" s="75"/>
      <c r="D18" s="75"/>
      <c r="E18" s="74"/>
      <c r="F18" s="76"/>
    </row>
    <row r="19" spans="1:6" ht="26.25">
      <c r="A19" s="74"/>
      <c r="B19" s="74"/>
      <c r="C19" s="75"/>
      <c r="D19" s="75"/>
      <c r="E19" s="77"/>
      <c r="F19" s="76"/>
    </row>
    <row r="20" spans="1:6" ht="26.25">
      <c r="A20" s="74"/>
      <c r="B20" s="74"/>
      <c r="C20" s="75"/>
      <c r="D20" s="75"/>
      <c r="E20" s="74"/>
      <c r="F20" s="76"/>
    </row>
    <row r="21" spans="1:6" ht="26.25">
      <c r="A21" s="74"/>
      <c r="B21" s="74"/>
      <c r="C21" s="75"/>
      <c r="D21" s="75"/>
      <c r="E21" s="74"/>
      <c r="F21" s="76"/>
    </row>
    <row r="22" spans="1:6" ht="26.25">
      <c r="A22" s="74"/>
      <c r="B22" s="74"/>
      <c r="C22" s="75"/>
      <c r="D22" s="75"/>
      <c r="E22" s="74"/>
      <c r="F22" s="76"/>
    </row>
    <row r="23" spans="1:6" ht="26.25">
      <c r="A23" s="74"/>
      <c r="B23" s="74"/>
      <c r="C23" s="75"/>
      <c r="D23" s="75"/>
      <c r="E23" s="74"/>
      <c r="F23" s="76"/>
    </row>
    <row r="24" spans="1:6" ht="26.25">
      <c r="A24" s="74"/>
      <c r="B24" s="74"/>
      <c r="C24" s="75"/>
      <c r="D24" s="75"/>
      <c r="E24" s="74"/>
      <c r="F24" s="76"/>
    </row>
    <row r="25" spans="1:6" ht="26.25">
      <c r="A25" s="74"/>
      <c r="B25" s="74"/>
      <c r="C25" s="75"/>
      <c r="D25" s="75"/>
      <c r="E25" s="77"/>
      <c r="F25" s="76"/>
    </row>
    <row r="26" spans="1:6" ht="26.25">
      <c r="A26" s="74"/>
      <c r="B26" s="74"/>
      <c r="C26" s="75"/>
      <c r="D26" s="75"/>
      <c r="E26" s="77"/>
      <c r="F26" s="76"/>
    </row>
    <row r="27" spans="1:6" ht="26.25">
      <c r="A27" s="74"/>
      <c r="B27" s="74"/>
      <c r="C27" s="75"/>
      <c r="D27" s="75"/>
      <c r="E27" s="77"/>
      <c r="F27" s="76"/>
    </row>
  </sheetData>
  <mergeCells count="7">
    <mergeCell ref="E5:J5"/>
    <mergeCell ref="E6:J6"/>
    <mergeCell ref="E7:J7"/>
    <mergeCell ref="E1:J1"/>
    <mergeCell ref="E2:J2"/>
    <mergeCell ref="E3:J3"/>
    <mergeCell ref="E4:J4"/>
  </mergeCells>
  <pageMargins left="0.70866141732283505" right="0.70866141732283505" top="0.74803149606299202" bottom="0.74803149606299202" header="0.31496062992126" footer="0.31496062992126"/>
  <pageSetup paperSize="9" scale="5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019D9-0405-4F6F-A77F-3B4B85474133}">
  <sheetPr>
    <pageSetUpPr fitToPage="1"/>
  </sheetPr>
  <dimension ref="A1:N7"/>
  <sheetViews>
    <sheetView workbookViewId="0"/>
  </sheetViews>
  <sheetFormatPr defaultRowHeight="15"/>
  <cols>
    <col min="1" max="1" width="9.85546875" customWidth="1"/>
    <col min="2" max="2" width="29.7109375" customWidth="1"/>
    <col min="3" max="3" width="22.42578125" bestFit="1" customWidth="1"/>
    <col min="4" max="5" width="20.140625" bestFit="1" customWidth="1"/>
    <col min="7" max="7" width="20.140625" bestFit="1" customWidth="1"/>
    <col min="8" max="8" width="6" bestFit="1" customWidth="1"/>
    <col min="9" max="9" width="20.140625" bestFit="1" customWidth="1"/>
    <col min="10" max="10" width="27" customWidth="1"/>
    <col min="11" max="11" width="20.140625" bestFit="1" customWidth="1"/>
    <col min="12" max="12" width="17.5703125" customWidth="1"/>
  </cols>
  <sheetData>
    <row r="1" spans="1:14" ht="78.75">
      <c r="A1" s="64" t="s">
        <v>1</v>
      </c>
      <c r="B1" s="64" t="s">
        <v>120</v>
      </c>
      <c r="C1" s="64" t="s">
        <v>121</v>
      </c>
      <c r="D1" s="64" t="s">
        <v>122</v>
      </c>
      <c r="E1" s="114" t="s">
        <v>123</v>
      </c>
      <c r="F1" s="114"/>
      <c r="G1" s="114"/>
      <c r="H1" s="114"/>
      <c r="I1" s="114"/>
      <c r="J1" s="64" t="s">
        <v>124</v>
      </c>
      <c r="K1" s="64" t="s">
        <v>125</v>
      </c>
      <c r="L1" s="64" t="s">
        <v>86</v>
      </c>
    </row>
    <row r="2" spans="1:14" ht="26.25">
      <c r="A2" s="65">
        <v>1</v>
      </c>
      <c r="B2" s="65" t="s">
        <v>110</v>
      </c>
      <c r="C2" s="65" t="s">
        <v>111</v>
      </c>
      <c r="D2" s="66">
        <v>45735</v>
      </c>
      <c r="E2" s="116" t="s">
        <v>127</v>
      </c>
      <c r="F2" s="117"/>
      <c r="G2" s="117"/>
      <c r="H2" s="117"/>
      <c r="I2" s="118"/>
      <c r="J2" s="68">
        <v>45735</v>
      </c>
      <c r="K2" s="67" t="s">
        <v>109</v>
      </c>
      <c r="L2" s="67" t="s">
        <v>83</v>
      </c>
    </row>
    <row r="3" spans="1:14" ht="26.25">
      <c r="A3" s="65">
        <v>2</v>
      </c>
      <c r="B3" s="65" t="s">
        <v>91</v>
      </c>
      <c r="C3" s="65" t="s">
        <v>92</v>
      </c>
      <c r="D3" s="66">
        <v>46011</v>
      </c>
      <c r="E3" s="115" t="s">
        <v>126</v>
      </c>
      <c r="F3" s="115"/>
      <c r="G3" s="115"/>
      <c r="H3" s="115"/>
      <c r="I3" s="115"/>
      <c r="J3" s="68">
        <v>45280</v>
      </c>
      <c r="K3" s="67" t="s">
        <v>84</v>
      </c>
      <c r="L3" s="67" t="s">
        <v>83</v>
      </c>
    </row>
    <row r="4" spans="1:14" ht="26.25">
      <c r="A4" s="65">
        <v>3</v>
      </c>
      <c r="B4" s="65" t="s">
        <v>97</v>
      </c>
      <c r="C4" s="65" t="s">
        <v>98</v>
      </c>
      <c r="D4" s="66">
        <v>46672</v>
      </c>
      <c r="E4" s="68">
        <v>45485</v>
      </c>
      <c r="F4" s="67" t="s">
        <v>131</v>
      </c>
      <c r="G4" s="68">
        <v>45669</v>
      </c>
      <c r="H4" s="67" t="s">
        <v>131</v>
      </c>
      <c r="I4" s="68">
        <v>46034</v>
      </c>
      <c r="J4" s="68">
        <v>45942</v>
      </c>
      <c r="K4" s="67" t="s">
        <v>61</v>
      </c>
      <c r="L4" s="67" t="s">
        <v>83</v>
      </c>
    </row>
    <row r="5" spans="1:14" ht="26.25">
      <c r="A5" s="65">
        <v>4</v>
      </c>
      <c r="B5" s="67" t="s">
        <v>101</v>
      </c>
      <c r="C5" s="67" t="s">
        <v>376</v>
      </c>
      <c r="D5" s="66">
        <v>46715</v>
      </c>
      <c r="E5" s="66">
        <v>45528</v>
      </c>
      <c r="F5" s="67" t="s">
        <v>131</v>
      </c>
      <c r="G5" s="66">
        <v>45712</v>
      </c>
      <c r="H5" s="67" t="s">
        <v>131</v>
      </c>
      <c r="I5" s="66">
        <v>46077</v>
      </c>
      <c r="J5" s="66">
        <v>45985</v>
      </c>
      <c r="K5" s="67" t="s">
        <v>61</v>
      </c>
      <c r="L5" s="67" t="s">
        <v>83</v>
      </c>
    </row>
    <row r="6" spans="1:14" ht="26.25">
      <c r="A6" s="65">
        <v>5</v>
      </c>
      <c r="B6" s="65" t="s">
        <v>99</v>
      </c>
      <c r="C6" s="65" t="s">
        <v>100</v>
      </c>
      <c r="D6" s="66">
        <v>46327</v>
      </c>
      <c r="E6" s="116" t="s">
        <v>129</v>
      </c>
      <c r="F6" s="117"/>
      <c r="G6" s="117"/>
      <c r="H6" s="117"/>
      <c r="I6" s="118"/>
      <c r="J6" s="68">
        <v>45597</v>
      </c>
      <c r="K6" s="67" t="s">
        <v>84</v>
      </c>
      <c r="L6" s="67" t="s">
        <v>83</v>
      </c>
    </row>
    <row r="7" spans="1:14" ht="26.25">
      <c r="A7" s="65">
        <v>6</v>
      </c>
      <c r="B7" s="65" t="s">
        <v>81</v>
      </c>
      <c r="C7" s="66" t="s">
        <v>82</v>
      </c>
      <c r="D7" s="98">
        <v>45746</v>
      </c>
      <c r="E7" s="119"/>
      <c r="F7" s="120"/>
      <c r="G7" s="120"/>
      <c r="H7" s="120"/>
      <c r="I7" s="121"/>
      <c r="J7" s="65"/>
      <c r="K7" s="66" t="s">
        <v>83</v>
      </c>
      <c r="L7" s="66" t="s">
        <v>84</v>
      </c>
      <c r="N7" s="11"/>
    </row>
  </sheetData>
  <mergeCells count="5">
    <mergeCell ref="E2:I2"/>
    <mergeCell ref="E3:I3"/>
    <mergeCell ref="E1:I1"/>
    <mergeCell ref="E6:I6"/>
    <mergeCell ref="E7:I7"/>
  </mergeCells>
  <pageMargins left="0.70866141732283472" right="0.70866141732283472" top="0.74803149606299213" bottom="0.74803149606299213" header="0.31496062992125984" footer="0.31496062992125984"/>
  <pageSetup paperSize="9" scale="3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tabSelected="1" zoomScale="160" zoomScaleNormal="160" workbookViewId="0">
      <selection activeCell="J19" sqref="J19"/>
    </sheetView>
  </sheetViews>
  <sheetFormatPr defaultColWidth="8.85546875" defaultRowHeight="15"/>
  <cols>
    <col min="1" max="1" width="3.28515625" customWidth="1"/>
    <col min="2" max="2" width="15.7109375" customWidth="1"/>
    <col min="3" max="3" width="17.7109375" customWidth="1"/>
    <col min="4" max="4" width="15.42578125" customWidth="1"/>
    <col min="5" max="5" width="13.7109375" customWidth="1"/>
    <col min="6" max="6" width="5.42578125" customWidth="1"/>
    <col min="7" max="7" width="5.7109375" customWidth="1"/>
    <col min="8" max="8" width="15.7109375" customWidth="1"/>
  </cols>
  <sheetData>
    <row r="1" spans="1:8">
      <c r="A1" s="17" t="s">
        <v>135</v>
      </c>
      <c r="B1" s="17" t="s">
        <v>136</v>
      </c>
      <c r="C1" s="17" t="s">
        <v>137</v>
      </c>
      <c r="D1" s="122" t="s">
        <v>138</v>
      </c>
      <c r="E1" s="122"/>
      <c r="F1" s="122"/>
      <c r="G1" s="122"/>
      <c r="H1" s="122"/>
    </row>
    <row r="2" spans="1:8">
      <c r="A2" s="5">
        <v>1</v>
      </c>
      <c r="B2" s="17" t="s">
        <v>139</v>
      </c>
      <c r="C2" s="60" t="s">
        <v>140</v>
      </c>
      <c r="D2" s="5" t="s">
        <v>141</v>
      </c>
      <c r="E2" s="5"/>
      <c r="F2" s="5"/>
      <c r="G2" s="11"/>
      <c r="H2" s="11"/>
    </row>
    <row r="3" spans="1:8">
      <c r="A3" s="5">
        <v>2</v>
      </c>
      <c r="B3" s="17" t="s">
        <v>142</v>
      </c>
      <c r="C3" s="61" t="s">
        <v>143</v>
      </c>
      <c r="D3" s="5" t="s">
        <v>144</v>
      </c>
      <c r="E3" s="5" t="s">
        <v>145</v>
      </c>
      <c r="F3" s="5" t="s">
        <v>146</v>
      </c>
      <c r="G3" s="11"/>
      <c r="H3" s="11"/>
    </row>
    <row r="4" spans="1:8">
      <c r="A4" s="5">
        <v>3</v>
      </c>
      <c r="B4" s="17" t="s">
        <v>147</v>
      </c>
      <c r="C4" s="60" t="s">
        <v>148</v>
      </c>
      <c r="D4" s="5" t="s">
        <v>149</v>
      </c>
      <c r="E4" s="11"/>
      <c r="F4" s="11"/>
      <c r="G4" s="11"/>
      <c r="H4" s="11"/>
    </row>
    <row r="5" spans="1:8">
      <c r="A5" s="5">
        <v>4</v>
      </c>
      <c r="B5" s="17" t="s">
        <v>150</v>
      </c>
      <c r="C5" s="17" t="s">
        <v>150</v>
      </c>
      <c r="D5" s="5" t="s">
        <v>151</v>
      </c>
      <c r="E5" s="17" t="s">
        <v>152</v>
      </c>
      <c r="F5" s="5" t="s">
        <v>153</v>
      </c>
      <c r="G5" s="17" t="s">
        <v>81</v>
      </c>
      <c r="H5" s="5" t="s">
        <v>154</v>
      </c>
    </row>
    <row r="6" spans="1:8">
      <c r="A6" s="5">
        <v>5</v>
      </c>
      <c r="B6" s="17" t="s">
        <v>155</v>
      </c>
      <c r="C6" s="60" t="s">
        <v>155</v>
      </c>
      <c r="D6" s="5" t="s">
        <v>156</v>
      </c>
      <c r="E6" s="11"/>
      <c r="F6" s="11"/>
      <c r="G6" s="11"/>
      <c r="H6" s="11"/>
    </row>
    <row r="7" spans="1:8">
      <c r="A7" s="5">
        <v>6</v>
      </c>
      <c r="B7" s="17" t="s">
        <v>157</v>
      </c>
      <c r="C7" s="17" t="s">
        <v>157</v>
      </c>
      <c r="D7" s="5" t="s">
        <v>117</v>
      </c>
      <c r="E7" s="11"/>
      <c r="F7" s="11"/>
      <c r="G7" s="11"/>
      <c r="H7" s="11"/>
    </row>
    <row r="8" spans="1:8">
      <c r="A8" s="5">
        <v>7</v>
      </c>
      <c r="B8" s="17"/>
      <c r="C8" s="17"/>
      <c r="D8" s="5" t="s">
        <v>158</v>
      </c>
      <c r="E8" s="11"/>
      <c r="F8" s="11"/>
      <c r="G8" s="11"/>
      <c r="H8" s="11"/>
    </row>
    <row r="9" spans="1:8" ht="15.75">
      <c r="A9" s="5">
        <v>9</v>
      </c>
      <c r="B9" s="96" t="s">
        <v>159</v>
      </c>
      <c r="C9" s="96" t="s">
        <v>159</v>
      </c>
      <c r="D9" s="5" t="s">
        <v>97</v>
      </c>
      <c r="E9" s="17" t="s">
        <v>114</v>
      </c>
      <c r="F9" s="11"/>
      <c r="G9" s="11"/>
      <c r="H9" s="11"/>
    </row>
  </sheetData>
  <mergeCells count="1">
    <mergeCell ref="D1:H1"/>
  </mergeCells>
  <hyperlinks>
    <hyperlink ref="C4" r:id="rId1" xr:uid="{00000000-0004-0000-0300-000000000000}"/>
    <hyperlink ref="C2" r:id="rId2" xr:uid="{00000000-0004-0000-0300-000001000000}"/>
    <hyperlink ref="C3" r:id="rId3" xr:uid="{00000000-0004-0000-0300-000002000000}"/>
    <hyperlink ref="C6" r:id="rId4" xr:uid="{00000000-0004-0000-0300-000003000000}"/>
  </hyperlink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selection activeCell="J18" sqref="J18"/>
    </sheetView>
  </sheetViews>
  <sheetFormatPr defaultColWidth="8.85546875" defaultRowHeight="15"/>
  <cols>
    <col min="1" max="1" width="4.42578125" customWidth="1"/>
    <col min="2" max="2" width="24.7109375" customWidth="1"/>
    <col min="3" max="3" width="11.28515625" customWidth="1"/>
    <col min="4" max="4" width="12" customWidth="1"/>
  </cols>
  <sheetData>
    <row r="1" spans="1:5" ht="15" customHeight="1">
      <c r="A1" s="123" t="s">
        <v>160</v>
      </c>
      <c r="B1" s="123"/>
      <c r="C1" s="123"/>
      <c r="D1" s="123"/>
    </row>
    <row r="2" spans="1:5">
      <c r="A2" s="123"/>
      <c r="B2" s="123"/>
      <c r="C2" s="123"/>
      <c r="D2" s="123"/>
    </row>
    <row r="3" spans="1:5" ht="30">
      <c r="A3" s="26" t="s">
        <v>161</v>
      </c>
      <c r="B3" s="21" t="s">
        <v>162</v>
      </c>
      <c r="C3" s="57" t="s">
        <v>163</v>
      </c>
      <c r="D3" s="57" t="s">
        <v>13</v>
      </c>
    </row>
    <row r="4" spans="1:5">
      <c r="A4" s="11">
        <v>1</v>
      </c>
      <c r="B4" s="11" t="s">
        <v>68</v>
      </c>
      <c r="C4" s="58" t="s">
        <v>164</v>
      </c>
      <c r="D4" s="59">
        <v>45291</v>
      </c>
      <c r="E4" s="19" t="s">
        <v>71</v>
      </c>
    </row>
    <row r="5" spans="1:5">
      <c r="A5" s="11">
        <v>2</v>
      </c>
      <c r="B5" s="11" t="s">
        <v>48</v>
      </c>
      <c r="C5" s="58" t="s">
        <v>165</v>
      </c>
      <c r="D5" s="59"/>
      <c r="E5" s="19" t="s">
        <v>19</v>
      </c>
    </row>
    <row r="6" spans="1:5">
      <c r="A6" s="11">
        <v>3</v>
      </c>
      <c r="B6" s="11" t="s">
        <v>37</v>
      </c>
      <c r="C6" s="58" t="s">
        <v>166</v>
      </c>
      <c r="D6" s="58"/>
      <c r="E6" s="19" t="s">
        <v>19</v>
      </c>
    </row>
    <row r="7" spans="1:5">
      <c r="A7" s="11">
        <v>4</v>
      </c>
      <c r="B7" s="11" t="s">
        <v>41</v>
      </c>
      <c r="C7" s="58" t="s">
        <v>167</v>
      </c>
      <c r="D7" s="59">
        <v>45291</v>
      </c>
      <c r="E7" s="19" t="s">
        <v>19</v>
      </c>
    </row>
    <row r="8" spans="1:5">
      <c r="A8" s="11">
        <v>5</v>
      </c>
      <c r="B8" s="11" t="s">
        <v>79</v>
      </c>
      <c r="C8" s="58" t="s">
        <v>168</v>
      </c>
      <c r="D8" s="59">
        <v>45291</v>
      </c>
      <c r="E8" s="19" t="s">
        <v>35</v>
      </c>
    </row>
    <row r="9" spans="1:5">
      <c r="A9" s="11">
        <v>6</v>
      </c>
      <c r="B9" s="11" t="s">
        <v>169</v>
      </c>
      <c r="C9" s="58" t="s">
        <v>170</v>
      </c>
      <c r="D9" s="59">
        <v>46477</v>
      </c>
      <c r="E9" s="19" t="s">
        <v>118</v>
      </c>
    </row>
    <row r="10" spans="1:5">
      <c r="A10" s="11">
        <v>7</v>
      </c>
      <c r="B10" s="11" t="s">
        <v>73</v>
      </c>
      <c r="C10" s="58" t="s">
        <v>171</v>
      </c>
      <c r="D10" s="59">
        <v>45291</v>
      </c>
      <c r="E10" s="19" t="s">
        <v>35</v>
      </c>
    </row>
    <row r="11" spans="1:5">
      <c r="A11" s="11">
        <v>8</v>
      </c>
      <c r="B11" s="11" t="s">
        <v>76</v>
      </c>
      <c r="C11" s="58" t="s">
        <v>172</v>
      </c>
      <c r="D11" s="59">
        <v>45291</v>
      </c>
      <c r="E11" s="19" t="s">
        <v>35</v>
      </c>
    </row>
  </sheetData>
  <mergeCells count="1">
    <mergeCell ref="A1:D2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35"/>
  <sheetViews>
    <sheetView topLeftCell="A13" zoomScale="85" zoomScaleNormal="85" workbookViewId="0">
      <selection activeCell="L1" sqref="L1:P35"/>
    </sheetView>
  </sheetViews>
  <sheetFormatPr defaultColWidth="9.140625" defaultRowHeight="15"/>
  <cols>
    <col min="1" max="1" width="4.42578125" style="56" customWidth="1"/>
    <col min="2" max="2" width="15.42578125" style="56" customWidth="1"/>
    <col min="3" max="3" width="27" style="24" customWidth="1"/>
    <col min="4" max="4" width="19.42578125" style="24" customWidth="1"/>
    <col min="5" max="5" width="14.42578125" style="24" customWidth="1"/>
    <col min="6" max="6" width="11.42578125" style="24" customWidth="1"/>
    <col min="7" max="7" width="8" style="24" customWidth="1"/>
    <col min="8" max="8" width="7.85546875" style="24" customWidth="1"/>
    <col min="9" max="9" width="6.7109375" style="24" customWidth="1"/>
    <col min="10" max="10" width="8.85546875" style="24" customWidth="1"/>
    <col min="11" max="11" width="7.7109375" style="24" customWidth="1"/>
    <col min="12" max="12" width="20.5703125" style="24" customWidth="1"/>
    <col min="13" max="13" width="19.42578125" style="24" customWidth="1"/>
    <col min="14" max="15" width="10.42578125" style="24" customWidth="1"/>
    <col min="16" max="16" width="27" style="24" customWidth="1"/>
    <col min="17" max="16384" width="9.140625" style="24"/>
  </cols>
  <sheetData>
    <row r="1" spans="1:17" s="56" customFormat="1" ht="44.25" customHeight="1">
      <c r="A1" s="21" t="s">
        <v>161</v>
      </c>
      <c r="B1" s="21" t="s">
        <v>2</v>
      </c>
      <c r="C1" s="21" t="s">
        <v>4</v>
      </c>
      <c r="D1" s="21" t="s">
        <v>173</v>
      </c>
      <c r="E1" s="21" t="s">
        <v>85</v>
      </c>
      <c r="F1" s="21" t="s">
        <v>174</v>
      </c>
      <c r="G1" s="21" t="s">
        <v>6</v>
      </c>
      <c r="H1" s="21" t="s">
        <v>175</v>
      </c>
      <c r="I1" s="21" t="s">
        <v>8</v>
      </c>
      <c r="J1" s="21" t="s">
        <v>9</v>
      </c>
      <c r="K1" s="21" t="s">
        <v>10</v>
      </c>
      <c r="L1" s="21" t="s">
        <v>176</v>
      </c>
      <c r="M1" s="21" t="s">
        <v>177</v>
      </c>
      <c r="N1" s="21" t="s">
        <v>87</v>
      </c>
      <c r="O1" s="21" t="s">
        <v>178</v>
      </c>
      <c r="P1" s="20" t="s">
        <v>14</v>
      </c>
    </row>
    <row r="2" spans="1:17" s="56" customFormat="1" ht="24.95" customHeight="1">
      <c r="A2" s="9">
        <v>1</v>
      </c>
      <c r="B2" s="9" t="s">
        <v>179</v>
      </c>
      <c r="C2" s="9" t="s">
        <v>180</v>
      </c>
      <c r="D2" s="9" t="s">
        <v>108</v>
      </c>
      <c r="E2" s="9" t="s">
        <v>66</v>
      </c>
      <c r="F2" s="93">
        <v>2017</v>
      </c>
      <c r="G2" s="94">
        <v>50</v>
      </c>
      <c r="H2" s="94">
        <v>15</v>
      </c>
      <c r="I2" s="94">
        <v>3</v>
      </c>
      <c r="J2" s="94">
        <v>564</v>
      </c>
      <c r="K2" s="94">
        <v>169</v>
      </c>
      <c r="L2" s="9" t="s">
        <v>181</v>
      </c>
      <c r="M2" s="9" t="s">
        <v>52</v>
      </c>
      <c r="N2" s="9" t="s">
        <v>182</v>
      </c>
      <c r="O2" s="9"/>
      <c r="P2" s="9" t="s">
        <v>52</v>
      </c>
      <c r="Q2" s="56" t="s">
        <v>377</v>
      </c>
    </row>
    <row r="3" spans="1:17" s="56" customFormat="1" ht="24.95" customHeight="1">
      <c r="A3" s="9">
        <v>2</v>
      </c>
      <c r="B3" s="9" t="s">
        <v>179</v>
      </c>
      <c r="C3" s="9" t="s">
        <v>58</v>
      </c>
      <c r="D3" s="9" t="s">
        <v>384</v>
      </c>
      <c r="E3" s="9" t="s">
        <v>59</v>
      </c>
      <c r="F3" s="93">
        <v>2018</v>
      </c>
      <c r="G3" s="94">
        <v>50</v>
      </c>
      <c r="H3" s="94">
        <v>15</v>
      </c>
      <c r="I3" s="94">
        <v>3</v>
      </c>
      <c r="J3" s="94">
        <v>564</v>
      </c>
      <c r="K3" s="94">
        <v>170</v>
      </c>
      <c r="L3" s="9" t="s">
        <v>181</v>
      </c>
      <c r="M3" s="9" t="s">
        <v>52</v>
      </c>
      <c r="N3" s="9" t="s">
        <v>61</v>
      </c>
      <c r="O3" s="9"/>
      <c r="P3" s="9" t="s">
        <v>52</v>
      </c>
    </row>
    <row r="4" spans="1:17" s="56" customFormat="1" ht="24.95" customHeight="1">
      <c r="A4" s="9">
        <v>3</v>
      </c>
      <c r="B4" s="9" t="s">
        <v>179</v>
      </c>
      <c r="C4" s="9" t="s">
        <v>183</v>
      </c>
      <c r="D4" s="9" t="s">
        <v>39</v>
      </c>
      <c r="E4" s="9" t="s">
        <v>94</v>
      </c>
      <c r="F4" s="93">
        <v>2019</v>
      </c>
      <c r="G4" s="94">
        <v>50</v>
      </c>
      <c r="H4" s="94">
        <v>17</v>
      </c>
      <c r="I4" s="94">
        <v>3</v>
      </c>
      <c r="J4" s="94">
        <v>616</v>
      </c>
      <c r="K4" s="94">
        <v>185</v>
      </c>
      <c r="L4" s="9" t="s">
        <v>181</v>
      </c>
      <c r="M4" s="9" t="s">
        <v>52</v>
      </c>
      <c r="N4" s="9" t="s">
        <v>182</v>
      </c>
      <c r="O4" s="9"/>
      <c r="P4" s="9" t="s">
        <v>52</v>
      </c>
      <c r="Q4" s="56" t="s">
        <v>377</v>
      </c>
    </row>
    <row r="5" spans="1:17" s="56" customFormat="1" ht="24.95" customHeight="1">
      <c r="A5" s="9">
        <v>4</v>
      </c>
      <c r="B5" s="9" t="s">
        <v>179</v>
      </c>
      <c r="C5" s="9" t="s">
        <v>114</v>
      </c>
      <c r="D5" s="9" t="s">
        <v>184</v>
      </c>
      <c r="E5" s="9" t="s">
        <v>115</v>
      </c>
      <c r="F5" s="93">
        <v>2020</v>
      </c>
      <c r="G5" s="94">
        <v>50</v>
      </c>
      <c r="H5" s="94">
        <v>17</v>
      </c>
      <c r="I5" s="94">
        <v>3</v>
      </c>
      <c r="J5" s="94">
        <v>648</v>
      </c>
      <c r="K5" s="94">
        <v>194</v>
      </c>
      <c r="L5" s="9" t="s">
        <v>181</v>
      </c>
      <c r="M5" s="9" t="s">
        <v>52</v>
      </c>
      <c r="N5" s="9" t="s">
        <v>61</v>
      </c>
      <c r="O5" s="9"/>
      <c r="P5" s="9" t="s">
        <v>52</v>
      </c>
    </row>
    <row r="6" spans="1:17" s="56" customFormat="1" ht="24.95" customHeight="1">
      <c r="A6" s="9">
        <v>5</v>
      </c>
      <c r="B6" s="9" t="s">
        <v>179</v>
      </c>
      <c r="C6" s="9" t="s">
        <v>185</v>
      </c>
      <c r="D6" s="104" t="s">
        <v>386</v>
      </c>
      <c r="E6" s="9" t="s">
        <v>111</v>
      </c>
      <c r="F6" s="93">
        <v>2020</v>
      </c>
      <c r="G6" s="94">
        <v>50</v>
      </c>
      <c r="H6" s="94">
        <v>15</v>
      </c>
      <c r="I6" s="94">
        <v>3</v>
      </c>
      <c r="J6" s="94">
        <v>564</v>
      </c>
      <c r="K6" s="94">
        <v>170</v>
      </c>
      <c r="L6" s="9" t="s">
        <v>181</v>
      </c>
      <c r="M6" s="9" t="s">
        <v>52</v>
      </c>
      <c r="N6" s="104" t="s">
        <v>109</v>
      </c>
      <c r="O6" s="104" t="s">
        <v>182</v>
      </c>
      <c r="P6" s="9" t="s">
        <v>52</v>
      </c>
      <c r="Q6" s="56" t="s">
        <v>320</v>
      </c>
    </row>
    <row r="7" spans="1:17" s="56" customFormat="1" ht="24.95" customHeight="1">
      <c r="A7" s="9">
        <v>6</v>
      </c>
      <c r="B7" s="9" t="s">
        <v>179</v>
      </c>
      <c r="C7" s="9" t="s">
        <v>186</v>
      </c>
      <c r="D7" s="9" t="s">
        <v>108</v>
      </c>
      <c r="E7" s="9" t="s">
        <v>105</v>
      </c>
      <c r="F7" s="93">
        <v>2020</v>
      </c>
      <c r="G7" s="94">
        <v>50</v>
      </c>
      <c r="H7" s="94">
        <v>15</v>
      </c>
      <c r="I7" s="94">
        <v>3</v>
      </c>
      <c r="J7" s="94">
        <v>564</v>
      </c>
      <c r="K7" s="94">
        <v>170</v>
      </c>
      <c r="L7" s="9" t="s">
        <v>181</v>
      </c>
      <c r="M7" s="9" t="s">
        <v>52</v>
      </c>
      <c r="N7" s="9" t="s">
        <v>187</v>
      </c>
      <c r="O7" s="9" t="s">
        <v>182</v>
      </c>
      <c r="P7" s="9" t="s">
        <v>52</v>
      </c>
    </row>
    <row r="8" spans="1:17" s="56" customFormat="1" ht="24.95" customHeight="1">
      <c r="A8" s="9">
        <v>7</v>
      </c>
      <c r="B8" s="9" t="s">
        <v>179</v>
      </c>
      <c r="C8" s="9" t="s">
        <v>81</v>
      </c>
      <c r="D8" s="9" t="s">
        <v>64</v>
      </c>
      <c r="E8" s="9" t="s">
        <v>188</v>
      </c>
      <c r="F8" s="93">
        <v>2020</v>
      </c>
      <c r="G8" s="94">
        <v>50</v>
      </c>
      <c r="H8" s="94">
        <v>18</v>
      </c>
      <c r="I8" s="94">
        <v>3</v>
      </c>
      <c r="J8" s="94">
        <v>685</v>
      </c>
      <c r="K8" s="94">
        <v>206</v>
      </c>
      <c r="L8" s="9" t="s">
        <v>52</v>
      </c>
      <c r="M8" s="9" t="s">
        <v>189</v>
      </c>
      <c r="N8" s="9" t="s">
        <v>187</v>
      </c>
      <c r="O8" s="9" t="s">
        <v>182</v>
      </c>
      <c r="P8" s="9" t="s">
        <v>52</v>
      </c>
    </row>
    <row r="9" spans="1:17" s="56" customFormat="1" ht="24.95" customHeight="1">
      <c r="A9" s="9">
        <v>8</v>
      </c>
      <c r="B9" s="9" t="s">
        <v>179</v>
      </c>
      <c r="C9" s="9" t="s">
        <v>99</v>
      </c>
      <c r="D9" s="9" t="s">
        <v>386</v>
      </c>
      <c r="E9" s="9" t="s">
        <v>190</v>
      </c>
      <c r="F9" s="93">
        <v>2021</v>
      </c>
      <c r="G9" s="94">
        <v>50</v>
      </c>
      <c r="H9" s="94">
        <v>18</v>
      </c>
      <c r="I9" s="94">
        <v>3</v>
      </c>
      <c r="J9" s="94">
        <v>685</v>
      </c>
      <c r="K9" s="94">
        <v>206</v>
      </c>
      <c r="L9" s="9" t="s">
        <v>191</v>
      </c>
      <c r="M9" s="9" t="s">
        <v>52</v>
      </c>
      <c r="N9" s="9" t="s">
        <v>187</v>
      </c>
      <c r="O9" s="9" t="s">
        <v>182</v>
      </c>
      <c r="P9" s="9" t="s">
        <v>52</v>
      </c>
    </row>
    <row r="10" spans="1:17" s="56" customFormat="1" ht="24.95" customHeight="1">
      <c r="A10" s="9">
        <v>9</v>
      </c>
      <c r="B10" s="9" t="s">
        <v>179</v>
      </c>
      <c r="C10" s="9" t="s">
        <v>103</v>
      </c>
      <c r="D10" s="9" t="s">
        <v>386</v>
      </c>
      <c r="E10" s="9" t="s">
        <v>100</v>
      </c>
      <c r="F10" s="93">
        <v>2021</v>
      </c>
      <c r="G10" s="94">
        <v>50</v>
      </c>
      <c r="H10" s="94">
        <v>18</v>
      </c>
      <c r="I10" s="94">
        <v>3</v>
      </c>
      <c r="J10" s="94">
        <v>685</v>
      </c>
      <c r="K10" s="94">
        <v>206</v>
      </c>
      <c r="L10" s="9" t="s">
        <v>191</v>
      </c>
      <c r="M10" s="9" t="s">
        <v>52</v>
      </c>
      <c r="N10" s="104" t="s">
        <v>19</v>
      </c>
      <c r="O10" s="104" t="s">
        <v>182</v>
      </c>
      <c r="P10" s="9" t="s">
        <v>52</v>
      </c>
      <c r="Q10" s="56" t="s">
        <v>320</v>
      </c>
    </row>
    <row r="11" spans="1:17" s="56" customFormat="1" ht="24.95" customHeight="1">
      <c r="A11" s="9">
        <v>10</v>
      </c>
      <c r="B11" s="9" t="s">
        <v>179</v>
      </c>
      <c r="C11" s="9" t="s">
        <v>101</v>
      </c>
      <c r="D11" s="9" t="s">
        <v>83</v>
      </c>
      <c r="E11" s="9" t="s">
        <v>102</v>
      </c>
      <c r="F11" s="93">
        <v>2022</v>
      </c>
      <c r="G11" s="94">
        <v>50</v>
      </c>
      <c r="H11" s="94">
        <v>15</v>
      </c>
      <c r="I11" s="94">
        <v>3</v>
      </c>
      <c r="J11" s="94">
        <v>564</v>
      </c>
      <c r="K11" s="94">
        <v>169</v>
      </c>
      <c r="L11" s="9" t="s">
        <v>52</v>
      </c>
      <c r="M11" s="9" t="s">
        <v>189</v>
      </c>
      <c r="N11" s="9" t="s">
        <v>61</v>
      </c>
      <c r="O11" s="9"/>
      <c r="P11" s="9" t="s">
        <v>52</v>
      </c>
    </row>
    <row r="12" spans="1:17" s="56" customFormat="1" ht="24.95" customHeight="1">
      <c r="A12" s="9">
        <v>11</v>
      </c>
      <c r="B12" s="9" t="s">
        <v>179</v>
      </c>
      <c r="C12" s="9" t="s">
        <v>95</v>
      </c>
      <c r="D12" s="9" t="s">
        <v>386</v>
      </c>
      <c r="E12" s="9" t="s">
        <v>96</v>
      </c>
      <c r="F12" s="93">
        <v>2022</v>
      </c>
      <c r="G12" s="94">
        <v>55</v>
      </c>
      <c r="H12" s="94">
        <v>16</v>
      </c>
      <c r="I12" s="94">
        <v>3</v>
      </c>
      <c r="J12" s="94">
        <v>646</v>
      </c>
      <c r="K12" s="94">
        <v>194</v>
      </c>
      <c r="L12" s="9" t="s">
        <v>191</v>
      </c>
      <c r="M12" s="9" t="s">
        <v>52</v>
      </c>
      <c r="N12" s="9" t="s">
        <v>187</v>
      </c>
      <c r="O12" s="9" t="s">
        <v>182</v>
      </c>
      <c r="P12" s="9" t="s">
        <v>52</v>
      </c>
    </row>
    <row r="13" spans="1:17" s="56" customFormat="1" ht="24.95" customHeight="1">
      <c r="A13" s="9">
        <v>12</v>
      </c>
      <c r="B13" s="9" t="s">
        <v>179</v>
      </c>
      <c r="C13" s="9" t="s">
        <v>88</v>
      </c>
      <c r="D13" s="9" t="s">
        <v>90</v>
      </c>
      <c r="E13" s="9" t="s">
        <v>89</v>
      </c>
      <c r="F13" s="93">
        <v>2019</v>
      </c>
      <c r="G13" s="94">
        <v>50</v>
      </c>
      <c r="H13" s="94">
        <v>15</v>
      </c>
      <c r="I13" s="94">
        <v>3</v>
      </c>
      <c r="J13" s="94">
        <v>564</v>
      </c>
      <c r="K13" s="94">
        <v>169</v>
      </c>
      <c r="L13" s="9" t="s">
        <v>181</v>
      </c>
      <c r="M13" s="9" t="s">
        <v>52</v>
      </c>
      <c r="N13" s="9" t="s">
        <v>187</v>
      </c>
      <c r="O13" s="9"/>
      <c r="P13" s="9" t="s">
        <v>52</v>
      </c>
    </row>
    <row r="14" spans="1:17" ht="24.95" customHeight="1">
      <c r="A14" s="9">
        <v>13</v>
      </c>
      <c r="B14" s="9" t="s">
        <v>179</v>
      </c>
      <c r="C14" s="9" t="s">
        <v>106</v>
      </c>
      <c r="D14" s="9" t="s">
        <v>108</v>
      </c>
      <c r="E14" s="9" t="s">
        <v>107</v>
      </c>
      <c r="F14" s="93">
        <v>2023</v>
      </c>
      <c r="G14" s="94">
        <v>50</v>
      </c>
      <c r="H14" s="94">
        <v>18</v>
      </c>
      <c r="I14" s="94">
        <v>3</v>
      </c>
      <c r="J14" s="94">
        <v>685</v>
      </c>
      <c r="K14" s="94">
        <v>206</v>
      </c>
      <c r="L14" s="9" t="s">
        <v>181</v>
      </c>
      <c r="M14" s="9" t="s">
        <v>52</v>
      </c>
      <c r="N14" s="9" t="s">
        <v>109</v>
      </c>
      <c r="O14" s="9"/>
      <c r="P14" s="9" t="s">
        <v>52</v>
      </c>
    </row>
    <row r="15" spans="1:17" s="56" customFormat="1" ht="24.95" customHeight="1">
      <c r="A15" s="9">
        <v>14</v>
      </c>
      <c r="B15" s="9" t="s">
        <v>179</v>
      </c>
      <c r="C15" s="9" t="s">
        <v>91</v>
      </c>
      <c r="D15" s="109" t="s">
        <v>83</v>
      </c>
      <c r="E15" s="9" t="s">
        <v>92</v>
      </c>
      <c r="F15" s="93">
        <v>2020</v>
      </c>
      <c r="G15" s="94">
        <v>55</v>
      </c>
      <c r="H15" s="94">
        <v>16</v>
      </c>
      <c r="I15" s="94">
        <v>3</v>
      </c>
      <c r="J15" s="94">
        <v>670</v>
      </c>
      <c r="K15" s="94">
        <v>201</v>
      </c>
      <c r="L15" s="9" t="s">
        <v>181</v>
      </c>
      <c r="M15" s="9" t="s">
        <v>52</v>
      </c>
      <c r="N15" s="9" t="s">
        <v>187</v>
      </c>
      <c r="O15" s="9" t="s">
        <v>182</v>
      </c>
      <c r="P15" s="9" t="s">
        <v>52</v>
      </c>
    </row>
    <row r="16" spans="1:17" ht="24.95" customHeight="1">
      <c r="A16" s="9">
        <v>15</v>
      </c>
      <c r="B16" s="9" t="s">
        <v>179</v>
      </c>
      <c r="C16" s="9" t="s">
        <v>97</v>
      </c>
      <c r="D16" s="9" t="s">
        <v>83</v>
      </c>
      <c r="E16" s="9" t="s">
        <v>98</v>
      </c>
      <c r="F16" s="93">
        <v>2022</v>
      </c>
      <c r="G16" s="94">
        <v>50</v>
      </c>
      <c r="H16" s="94">
        <v>15</v>
      </c>
      <c r="I16" s="94">
        <v>3</v>
      </c>
      <c r="J16" s="94">
        <v>564</v>
      </c>
      <c r="K16" s="94">
        <v>169</v>
      </c>
      <c r="L16" s="9" t="s">
        <v>191</v>
      </c>
      <c r="M16" s="9" t="s">
        <v>52</v>
      </c>
      <c r="N16" s="104" t="s">
        <v>61</v>
      </c>
      <c r="O16" s="104" t="s">
        <v>182</v>
      </c>
      <c r="P16" s="9" t="s">
        <v>52</v>
      </c>
    </row>
    <row r="17" spans="1:17" s="56" customFormat="1" ht="24.95" customHeight="1">
      <c r="A17" s="9">
        <v>16</v>
      </c>
      <c r="B17" s="9" t="s">
        <v>179</v>
      </c>
      <c r="C17" s="9" t="s">
        <v>62</v>
      </c>
      <c r="D17" s="9" t="s">
        <v>385</v>
      </c>
      <c r="E17" s="9" t="s">
        <v>63</v>
      </c>
      <c r="F17" s="93">
        <v>2019</v>
      </c>
      <c r="G17" s="94">
        <v>46.4</v>
      </c>
      <c r="H17" s="94">
        <v>18</v>
      </c>
      <c r="I17" s="94">
        <v>3</v>
      </c>
      <c r="J17" s="94">
        <v>633.76900000000001</v>
      </c>
      <c r="K17" s="94">
        <v>190</v>
      </c>
      <c r="L17" s="9" t="s">
        <v>52</v>
      </c>
      <c r="M17" s="9" t="s">
        <v>192</v>
      </c>
      <c r="N17" s="9" t="s">
        <v>182</v>
      </c>
      <c r="O17" s="9"/>
      <c r="P17" s="9" t="s">
        <v>52</v>
      </c>
      <c r="Q17" s="56" t="s">
        <v>377</v>
      </c>
    </row>
    <row r="18" spans="1:17" s="56" customFormat="1" ht="24.95" customHeight="1">
      <c r="A18" s="9">
        <v>17</v>
      </c>
      <c r="B18" s="9" t="s">
        <v>179</v>
      </c>
      <c r="C18" s="9" t="s">
        <v>112</v>
      </c>
      <c r="D18" s="9" t="s">
        <v>193</v>
      </c>
      <c r="E18" s="9" t="s">
        <v>194</v>
      </c>
      <c r="F18" s="93">
        <v>2024</v>
      </c>
      <c r="G18" s="94">
        <v>50</v>
      </c>
      <c r="H18" s="94">
        <v>18</v>
      </c>
      <c r="I18" s="94">
        <v>3</v>
      </c>
      <c r="J18" s="94">
        <v>685</v>
      </c>
      <c r="K18" s="94">
        <v>206</v>
      </c>
      <c r="L18" s="9" t="s">
        <v>181</v>
      </c>
      <c r="M18" s="9"/>
      <c r="N18" s="9" t="s">
        <v>187</v>
      </c>
      <c r="O18" s="9" t="s">
        <v>182</v>
      </c>
      <c r="P18" s="9"/>
    </row>
    <row r="19" spans="1:17" s="56" customFormat="1" ht="24.95" customHeight="1">
      <c r="A19" s="9">
        <v>18</v>
      </c>
      <c r="B19" s="9" t="s">
        <v>179</v>
      </c>
      <c r="C19" s="9" t="s">
        <v>132</v>
      </c>
      <c r="D19" s="9" t="s">
        <v>193</v>
      </c>
      <c r="E19" s="9" t="s">
        <v>133</v>
      </c>
      <c r="F19" s="93">
        <v>2024</v>
      </c>
      <c r="G19" s="94">
        <v>50</v>
      </c>
      <c r="H19" s="94">
        <v>18</v>
      </c>
      <c r="I19" s="94">
        <v>3</v>
      </c>
      <c r="J19" s="94">
        <v>685</v>
      </c>
      <c r="K19" s="94">
        <v>206</v>
      </c>
      <c r="L19" s="9" t="s">
        <v>181</v>
      </c>
      <c r="M19" s="9"/>
      <c r="N19" s="9" t="s">
        <v>61</v>
      </c>
      <c r="O19" s="9"/>
      <c r="P19" s="9"/>
    </row>
    <row r="20" spans="1:17" ht="24.95" customHeight="1">
      <c r="A20" s="9">
        <v>19</v>
      </c>
      <c r="B20" s="9" t="s">
        <v>44</v>
      </c>
      <c r="C20" s="9" t="s">
        <v>46</v>
      </c>
      <c r="D20" s="9" t="s">
        <v>23</v>
      </c>
      <c r="E20" s="93" t="s">
        <v>47</v>
      </c>
      <c r="F20" s="93" t="s">
        <v>45</v>
      </c>
      <c r="G20" s="94">
        <v>33.5</v>
      </c>
      <c r="H20" s="94">
        <v>9.6999999999999993</v>
      </c>
      <c r="I20" s="94">
        <v>2.13</v>
      </c>
      <c r="J20" s="94">
        <v>165.73</v>
      </c>
      <c r="K20" s="94">
        <v>165.73</v>
      </c>
      <c r="L20" s="9" t="s">
        <v>52</v>
      </c>
      <c r="M20" s="9" t="s">
        <v>195</v>
      </c>
      <c r="N20" s="9" t="s">
        <v>19</v>
      </c>
      <c r="O20" s="9"/>
      <c r="P20" s="9" t="s">
        <v>196</v>
      </c>
    </row>
    <row r="21" spans="1:17" ht="24.95" customHeight="1">
      <c r="A21" s="9">
        <v>20</v>
      </c>
      <c r="B21" s="9" t="s">
        <v>44</v>
      </c>
      <c r="C21" s="9" t="s">
        <v>53</v>
      </c>
      <c r="D21" s="9" t="s">
        <v>55</v>
      </c>
      <c r="E21" s="93" t="s">
        <v>54</v>
      </c>
      <c r="F21" s="93">
        <v>1999</v>
      </c>
      <c r="G21" s="94">
        <v>36.5</v>
      </c>
      <c r="H21" s="94">
        <v>9.9</v>
      </c>
      <c r="I21" s="94">
        <v>2.75</v>
      </c>
      <c r="J21" s="94">
        <v>486</v>
      </c>
      <c r="K21" s="94" t="s">
        <v>52</v>
      </c>
      <c r="L21" s="9" t="s">
        <v>52</v>
      </c>
      <c r="M21" s="9" t="s">
        <v>192</v>
      </c>
      <c r="N21" s="9" t="s">
        <v>19</v>
      </c>
      <c r="O21" s="9"/>
      <c r="P21" s="9" t="s">
        <v>52</v>
      </c>
    </row>
    <row r="22" spans="1:17" ht="24.95" customHeight="1">
      <c r="A22" s="9">
        <v>21</v>
      </c>
      <c r="B22" s="9" t="s">
        <v>44</v>
      </c>
      <c r="C22" s="9" t="s">
        <v>50</v>
      </c>
      <c r="D22" s="9" t="s">
        <v>39</v>
      </c>
      <c r="E22" s="93" t="s">
        <v>51</v>
      </c>
      <c r="F22" s="93">
        <v>1996</v>
      </c>
      <c r="G22" s="94">
        <v>40.4</v>
      </c>
      <c r="H22" s="94">
        <v>10</v>
      </c>
      <c r="I22" s="94">
        <v>2.8</v>
      </c>
      <c r="J22" s="94">
        <v>461.44</v>
      </c>
      <c r="K22" s="94" t="s">
        <v>52</v>
      </c>
      <c r="L22" s="9" t="s">
        <v>52</v>
      </c>
      <c r="M22" s="9" t="s">
        <v>192</v>
      </c>
      <c r="N22" s="9" t="s">
        <v>19</v>
      </c>
      <c r="O22" s="9"/>
      <c r="P22" s="9" t="s">
        <v>52</v>
      </c>
    </row>
    <row r="23" spans="1:17" ht="24.95" customHeight="1">
      <c r="A23" s="9">
        <v>22</v>
      </c>
      <c r="B23" s="9" t="s">
        <v>15</v>
      </c>
      <c r="C23" s="9" t="s">
        <v>16</v>
      </c>
      <c r="D23" s="9" t="s">
        <v>197</v>
      </c>
      <c r="E23" s="93" t="s">
        <v>17</v>
      </c>
      <c r="F23" s="93">
        <v>2009</v>
      </c>
      <c r="G23" s="94">
        <v>36</v>
      </c>
      <c r="H23" s="94">
        <v>10</v>
      </c>
      <c r="I23" s="94">
        <v>2.75</v>
      </c>
      <c r="J23" s="94">
        <v>289.23</v>
      </c>
      <c r="K23" s="94">
        <v>87</v>
      </c>
      <c r="L23" s="9" t="s">
        <v>52</v>
      </c>
      <c r="M23" s="9" t="s">
        <v>195</v>
      </c>
      <c r="N23" s="9" t="s">
        <v>19</v>
      </c>
      <c r="O23" s="9"/>
      <c r="P23" s="9" t="s">
        <v>52</v>
      </c>
    </row>
    <row r="24" spans="1:17" ht="24.95" customHeight="1">
      <c r="A24" s="9">
        <v>23</v>
      </c>
      <c r="B24" s="9" t="s">
        <v>15</v>
      </c>
      <c r="C24" s="9" t="s">
        <v>21</v>
      </c>
      <c r="D24" s="9" t="s">
        <v>23</v>
      </c>
      <c r="E24" s="93" t="s">
        <v>22</v>
      </c>
      <c r="F24" s="93">
        <v>2009</v>
      </c>
      <c r="G24" s="94">
        <v>36</v>
      </c>
      <c r="H24" s="94">
        <v>10</v>
      </c>
      <c r="I24" s="94">
        <v>2.75</v>
      </c>
      <c r="J24" s="94">
        <v>251.1</v>
      </c>
      <c r="K24" s="94">
        <v>75.319999999999993</v>
      </c>
      <c r="L24" s="9" t="s">
        <v>52</v>
      </c>
      <c r="M24" s="9" t="s">
        <v>195</v>
      </c>
      <c r="N24" s="9" t="s">
        <v>19</v>
      </c>
      <c r="O24" s="9"/>
      <c r="P24" s="9" t="s">
        <v>52</v>
      </c>
    </row>
    <row r="25" spans="1:17" ht="24.95" customHeight="1">
      <c r="A25" s="9">
        <v>24</v>
      </c>
      <c r="B25" s="9" t="s">
        <v>15</v>
      </c>
      <c r="C25" s="9" t="s">
        <v>25</v>
      </c>
      <c r="D25" s="9" t="s">
        <v>23</v>
      </c>
      <c r="E25" s="93" t="s">
        <v>26</v>
      </c>
      <c r="F25" s="93">
        <v>2009</v>
      </c>
      <c r="G25" s="94">
        <v>38.299999999999997</v>
      </c>
      <c r="H25" s="94">
        <v>10</v>
      </c>
      <c r="I25" s="94">
        <v>2.7</v>
      </c>
      <c r="J25" s="94">
        <v>343</v>
      </c>
      <c r="K25" s="94">
        <v>192</v>
      </c>
      <c r="L25" s="9" t="s">
        <v>52</v>
      </c>
      <c r="M25" s="9" t="s">
        <v>195</v>
      </c>
      <c r="N25" s="9" t="s">
        <v>19</v>
      </c>
      <c r="O25" s="9"/>
      <c r="P25" s="9" t="s">
        <v>52</v>
      </c>
    </row>
    <row r="26" spans="1:17" ht="24.95" customHeight="1">
      <c r="A26" s="9">
        <v>25</v>
      </c>
      <c r="B26" s="9" t="s">
        <v>32</v>
      </c>
      <c r="C26" s="9" t="s">
        <v>68</v>
      </c>
      <c r="D26" s="9" t="s">
        <v>64</v>
      </c>
      <c r="E26" s="93" t="s">
        <v>69</v>
      </c>
      <c r="F26" s="93">
        <v>2006</v>
      </c>
      <c r="G26" s="94">
        <v>60</v>
      </c>
      <c r="H26" s="94">
        <v>12</v>
      </c>
      <c r="I26" s="94">
        <v>4</v>
      </c>
      <c r="J26" s="94">
        <v>741</v>
      </c>
      <c r="K26" s="94">
        <v>459</v>
      </c>
      <c r="L26" s="9" t="s">
        <v>52</v>
      </c>
      <c r="M26" s="9" t="s">
        <v>192</v>
      </c>
      <c r="N26" s="9" t="s">
        <v>71</v>
      </c>
      <c r="O26" s="9"/>
      <c r="P26" s="9" t="s">
        <v>52</v>
      </c>
    </row>
    <row r="27" spans="1:17" ht="24.95" customHeight="1">
      <c r="A27" s="9">
        <v>26</v>
      </c>
      <c r="B27" s="9" t="s">
        <v>32</v>
      </c>
      <c r="C27" s="9" t="s">
        <v>73</v>
      </c>
      <c r="D27" s="9" t="s">
        <v>64</v>
      </c>
      <c r="E27" s="93" t="s">
        <v>74</v>
      </c>
      <c r="F27" s="93" t="s">
        <v>72</v>
      </c>
      <c r="G27" s="94">
        <v>60</v>
      </c>
      <c r="H27" s="94">
        <v>12.5</v>
      </c>
      <c r="I27" s="94">
        <v>4</v>
      </c>
      <c r="J27" s="94">
        <v>757</v>
      </c>
      <c r="K27" s="94">
        <v>405</v>
      </c>
      <c r="L27" s="9" t="s">
        <v>52</v>
      </c>
      <c r="M27" s="9" t="s">
        <v>192</v>
      </c>
      <c r="N27" s="9" t="s">
        <v>35</v>
      </c>
      <c r="O27" s="9"/>
      <c r="P27" s="9" t="s">
        <v>52</v>
      </c>
    </row>
    <row r="28" spans="1:17" ht="24.95" customHeight="1">
      <c r="A28" s="9">
        <v>27</v>
      </c>
      <c r="B28" s="9" t="s">
        <v>32</v>
      </c>
      <c r="C28" s="9" t="s">
        <v>76</v>
      </c>
      <c r="D28" s="95" t="s">
        <v>198</v>
      </c>
      <c r="E28" s="93" t="s">
        <v>77</v>
      </c>
      <c r="F28" s="93">
        <v>2006</v>
      </c>
      <c r="G28" s="94">
        <v>60</v>
      </c>
      <c r="H28" s="94">
        <v>12.5</v>
      </c>
      <c r="I28" s="94">
        <v>4</v>
      </c>
      <c r="J28" s="94">
        <v>741</v>
      </c>
      <c r="K28" s="94">
        <v>459</v>
      </c>
      <c r="L28" s="9" t="s">
        <v>52</v>
      </c>
      <c r="M28" s="9" t="s">
        <v>192</v>
      </c>
      <c r="N28" s="9" t="s">
        <v>35</v>
      </c>
      <c r="O28" s="9"/>
      <c r="P28" s="9" t="s">
        <v>199</v>
      </c>
    </row>
    <row r="29" spans="1:17" ht="24.95" customHeight="1">
      <c r="A29" s="9">
        <v>28</v>
      </c>
      <c r="B29" s="9" t="s">
        <v>32</v>
      </c>
      <c r="C29" s="9" t="s">
        <v>79</v>
      </c>
      <c r="D29" s="9" t="s">
        <v>64</v>
      </c>
      <c r="E29" s="93" t="s">
        <v>80</v>
      </c>
      <c r="F29" s="93" t="s">
        <v>72</v>
      </c>
      <c r="G29" s="94">
        <v>60</v>
      </c>
      <c r="H29" s="94">
        <v>12.5</v>
      </c>
      <c r="I29" s="94">
        <v>4</v>
      </c>
      <c r="J29" s="94">
        <v>757</v>
      </c>
      <c r="K29" s="94">
        <v>405</v>
      </c>
      <c r="L29" s="9" t="s">
        <v>52</v>
      </c>
      <c r="M29" s="9" t="s">
        <v>192</v>
      </c>
      <c r="N29" s="9" t="s">
        <v>35</v>
      </c>
      <c r="O29" s="9"/>
      <c r="P29" s="9" t="s">
        <v>52</v>
      </c>
    </row>
    <row r="30" spans="1:17" ht="24.95" customHeight="1">
      <c r="A30" s="9">
        <v>29</v>
      </c>
      <c r="B30" s="9" t="s">
        <v>32</v>
      </c>
      <c r="C30" s="9" t="s">
        <v>33</v>
      </c>
      <c r="D30" s="9" t="s">
        <v>30</v>
      </c>
      <c r="E30" s="93" t="s">
        <v>34</v>
      </c>
      <c r="F30" s="93">
        <v>1997</v>
      </c>
      <c r="G30" s="94">
        <v>65</v>
      </c>
      <c r="H30" s="94">
        <v>12.3</v>
      </c>
      <c r="I30" s="94">
        <v>4</v>
      </c>
      <c r="J30" s="94">
        <v>1014</v>
      </c>
      <c r="K30" s="94">
        <v>867</v>
      </c>
      <c r="L30" s="9" t="s">
        <v>52</v>
      </c>
      <c r="M30" s="9" t="s">
        <v>192</v>
      </c>
      <c r="N30" s="9" t="s">
        <v>35</v>
      </c>
      <c r="O30" s="9"/>
      <c r="P30" s="9" t="s">
        <v>52</v>
      </c>
    </row>
    <row r="31" spans="1:17" ht="24.95" customHeight="1">
      <c r="A31" s="9">
        <v>30</v>
      </c>
      <c r="B31" s="9" t="s">
        <v>27</v>
      </c>
      <c r="C31" s="9" t="s">
        <v>41</v>
      </c>
      <c r="D31" s="9" t="s">
        <v>197</v>
      </c>
      <c r="E31" s="93" t="s">
        <v>42</v>
      </c>
      <c r="F31" s="93">
        <v>1997</v>
      </c>
      <c r="G31" s="94">
        <v>15.25</v>
      </c>
      <c r="H31" s="94">
        <v>5</v>
      </c>
      <c r="I31" s="94">
        <v>2.35</v>
      </c>
      <c r="J31" s="94">
        <v>43.6</v>
      </c>
      <c r="K31" s="94">
        <v>32.200000000000003</v>
      </c>
      <c r="L31" s="9" t="s">
        <v>52</v>
      </c>
      <c r="M31" s="9" t="s">
        <v>192</v>
      </c>
      <c r="N31" s="9" t="s">
        <v>19</v>
      </c>
      <c r="O31" s="9"/>
      <c r="P31" s="9" t="s">
        <v>199</v>
      </c>
    </row>
    <row r="32" spans="1:17" ht="24.95" customHeight="1">
      <c r="A32" s="9">
        <v>31</v>
      </c>
      <c r="B32" s="9" t="s">
        <v>27</v>
      </c>
      <c r="C32" s="9" t="s">
        <v>37</v>
      </c>
      <c r="D32" s="9" t="s">
        <v>39</v>
      </c>
      <c r="E32" s="93" t="s">
        <v>38</v>
      </c>
      <c r="F32" s="93">
        <v>1991</v>
      </c>
      <c r="G32" s="94">
        <v>19.93</v>
      </c>
      <c r="H32" s="94">
        <v>6.4</v>
      </c>
      <c r="I32" s="94">
        <v>4</v>
      </c>
      <c r="J32" s="94">
        <v>93</v>
      </c>
      <c r="K32" s="94">
        <v>28</v>
      </c>
      <c r="L32" s="9" t="s">
        <v>52</v>
      </c>
      <c r="M32" s="9" t="s">
        <v>192</v>
      </c>
      <c r="N32" s="9" t="s">
        <v>19</v>
      </c>
      <c r="O32" s="9"/>
      <c r="P32" s="9" t="s">
        <v>52</v>
      </c>
    </row>
    <row r="33" spans="1:16" ht="24.95" customHeight="1">
      <c r="A33" s="9">
        <v>32</v>
      </c>
      <c r="B33" s="9" t="s">
        <v>27</v>
      </c>
      <c r="C33" s="9" t="s">
        <v>28</v>
      </c>
      <c r="D33" s="9" t="s">
        <v>30</v>
      </c>
      <c r="E33" s="93" t="s">
        <v>29</v>
      </c>
      <c r="F33" s="93">
        <v>1997</v>
      </c>
      <c r="G33" s="94">
        <v>15</v>
      </c>
      <c r="H33" s="94">
        <v>5</v>
      </c>
      <c r="I33" s="94">
        <v>2.75</v>
      </c>
      <c r="J33" s="94">
        <v>65.81</v>
      </c>
      <c r="K33" s="94">
        <v>9.67</v>
      </c>
      <c r="L33" s="9" t="s">
        <v>52</v>
      </c>
      <c r="M33" s="9" t="s">
        <v>192</v>
      </c>
      <c r="N33" s="9" t="s">
        <v>19</v>
      </c>
      <c r="O33" s="9"/>
      <c r="P33" s="9"/>
    </row>
    <row r="34" spans="1:16" ht="24.95" customHeight="1">
      <c r="A34" s="9">
        <v>33</v>
      </c>
      <c r="B34" s="9" t="s">
        <v>27</v>
      </c>
      <c r="C34" s="9" t="s">
        <v>48</v>
      </c>
      <c r="D34" s="9" t="s">
        <v>39</v>
      </c>
      <c r="E34" s="93" t="s">
        <v>200</v>
      </c>
      <c r="F34" s="93">
        <v>2008</v>
      </c>
      <c r="G34" s="94">
        <v>20</v>
      </c>
      <c r="H34" s="94">
        <v>6</v>
      </c>
      <c r="I34" s="94">
        <v>2.8</v>
      </c>
      <c r="J34" s="94">
        <v>74</v>
      </c>
      <c r="K34" s="94">
        <v>22</v>
      </c>
      <c r="L34" s="9" t="s">
        <v>52</v>
      </c>
      <c r="M34" s="9" t="s">
        <v>192</v>
      </c>
      <c r="N34" s="9" t="s">
        <v>19</v>
      </c>
      <c r="O34" s="9"/>
      <c r="P34" s="9" t="s">
        <v>201</v>
      </c>
    </row>
    <row r="35" spans="1:16" ht="24.95" customHeight="1">
      <c r="A35" s="9">
        <v>34</v>
      </c>
      <c r="B35" s="9" t="s">
        <v>27</v>
      </c>
      <c r="C35" s="9" t="s">
        <v>169</v>
      </c>
      <c r="D35" s="9" t="s">
        <v>202</v>
      </c>
      <c r="E35" s="93">
        <v>4394</v>
      </c>
      <c r="F35" s="93">
        <v>2016</v>
      </c>
      <c r="G35" s="94">
        <v>20.36</v>
      </c>
      <c r="H35" s="94">
        <v>6.5</v>
      </c>
      <c r="I35" s="94">
        <v>2.8</v>
      </c>
      <c r="J35" s="94">
        <v>107</v>
      </c>
      <c r="K35" s="94">
        <v>32</v>
      </c>
      <c r="L35" s="9" t="s">
        <v>203</v>
      </c>
      <c r="M35" s="9" t="s">
        <v>52</v>
      </c>
      <c r="N35" s="9" t="s">
        <v>118</v>
      </c>
      <c r="O35" s="9"/>
      <c r="P35" s="9" t="s">
        <v>204</v>
      </c>
    </row>
  </sheetData>
  <printOptions horizontalCentered="1"/>
  <pageMargins left="0.70866141732283472" right="0.70866141732283472" top="0.43307086614173229" bottom="0.43307086614173229" header="0.31496062992125984" footer="0.31496062992125984"/>
  <pageSetup paperSize="9" scale="5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3EB6-20A1-429D-9D66-8E42291B783D}">
  <sheetPr>
    <pageSetUpPr fitToPage="1"/>
  </sheetPr>
  <dimension ref="A1:I35"/>
  <sheetViews>
    <sheetView workbookViewId="0">
      <selection sqref="A1:XFD1"/>
    </sheetView>
  </sheetViews>
  <sheetFormatPr defaultRowHeight="15"/>
  <cols>
    <col min="1" max="1" width="11.7109375" bestFit="1" customWidth="1"/>
    <col min="2" max="2" width="20" bestFit="1" customWidth="1"/>
    <col min="3" max="3" width="25.7109375" bestFit="1" customWidth="1"/>
    <col min="4" max="4" width="23.7109375" bestFit="1" customWidth="1"/>
    <col min="5" max="5" width="13.85546875" bestFit="1" customWidth="1"/>
    <col min="6" max="6" width="11" bestFit="1" customWidth="1"/>
    <col min="7" max="7" width="12.5703125" bestFit="1" customWidth="1"/>
    <col min="8" max="8" width="12.42578125" bestFit="1" customWidth="1"/>
    <col min="9" max="9" width="11.28515625" bestFit="1" customWidth="1"/>
  </cols>
  <sheetData>
    <row r="1" spans="1:9" ht="24" customHeight="1">
      <c r="A1" s="26" t="s">
        <v>389</v>
      </c>
      <c r="B1" s="26" t="s">
        <v>2</v>
      </c>
      <c r="C1" s="26" t="s">
        <v>4</v>
      </c>
      <c r="D1" s="26" t="s">
        <v>173</v>
      </c>
      <c r="E1" s="26" t="s">
        <v>85</v>
      </c>
      <c r="F1" s="26" t="s">
        <v>174</v>
      </c>
      <c r="G1" s="26" t="s">
        <v>6</v>
      </c>
      <c r="H1" s="26" t="s">
        <v>175</v>
      </c>
      <c r="I1" s="26" t="s">
        <v>8</v>
      </c>
    </row>
    <row r="2" spans="1:9" ht="30" customHeight="1">
      <c r="A2" s="6">
        <v>1</v>
      </c>
      <c r="B2" s="6" t="s">
        <v>179</v>
      </c>
      <c r="C2" s="6" t="s">
        <v>180</v>
      </c>
      <c r="D2" s="6" t="s">
        <v>108</v>
      </c>
      <c r="E2" s="6" t="s">
        <v>388</v>
      </c>
      <c r="F2" s="110">
        <v>2017</v>
      </c>
      <c r="G2" s="111">
        <v>50</v>
      </c>
      <c r="H2" s="111">
        <v>15</v>
      </c>
      <c r="I2" s="111">
        <v>3</v>
      </c>
    </row>
    <row r="3" spans="1:9" ht="30" customHeight="1">
      <c r="A3" s="6">
        <v>2</v>
      </c>
      <c r="B3" s="6" t="s">
        <v>179</v>
      </c>
      <c r="C3" s="6" t="s">
        <v>58</v>
      </c>
      <c r="D3" s="6" t="s">
        <v>384</v>
      </c>
      <c r="E3" s="6" t="s">
        <v>59</v>
      </c>
      <c r="F3" s="110">
        <v>2018</v>
      </c>
      <c r="G3" s="111">
        <v>50</v>
      </c>
      <c r="H3" s="111">
        <v>15</v>
      </c>
      <c r="I3" s="111">
        <v>3</v>
      </c>
    </row>
    <row r="4" spans="1:9" ht="30" customHeight="1">
      <c r="A4" s="6">
        <v>3</v>
      </c>
      <c r="B4" s="6" t="s">
        <v>179</v>
      </c>
      <c r="C4" s="6" t="s">
        <v>183</v>
      </c>
      <c r="D4" s="6" t="s">
        <v>39</v>
      </c>
      <c r="E4" s="6" t="s">
        <v>387</v>
      </c>
      <c r="F4" s="110">
        <v>2019</v>
      </c>
      <c r="G4" s="111">
        <v>50</v>
      </c>
      <c r="H4" s="111">
        <v>17</v>
      </c>
      <c r="I4" s="111">
        <v>3</v>
      </c>
    </row>
    <row r="5" spans="1:9" ht="30" customHeight="1">
      <c r="A5" s="6">
        <v>4</v>
      </c>
      <c r="B5" s="6" t="s">
        <v>179</v>
      </c>
      <c r="C5" s="6" t="s">
        <v>114</v>
      </c>
      <c r="D5" s="6" t="s">
        <v>184</v>
      </c>
      <c r="E5" s="6" t="s">
        <v>115</v>
      </c>
      <c r="F5" s="110">
        <v>2020</v>
      </c>
      <c r="G5" s="111">
        <v>50</v>
      </c>
      <c r="H5" s="111">
        <v>17</v>
      </c>
      <c r="I5" s="111">
        <v>3</v>
      </c>
    </row>
    <row r="6" spans="1:9" ht="30" customHeight="1">
      <c r="A6" s="6">
        <v>5</v>
      </c>
      <c r="B6" s="6" t="s">
        <v>179</v>
      </c>
      <c r="C6" s="6" t="s">
        <v>185</v>
      </c>
      <c r="D6" s="29" t="s">
        <v>386</v>
      </c>
      <c r="E6" s="6" t="s">
        <v>111</v>
      </c>
      <c r="F6" s="110">
        <v>2020</v>
      </c>
      <c r="G6" s="111">
        <v>50</v>
      </c>
      <c r="H6" s="111">
        <v>15</v>
      </c>
      <c r="I6" s="111">
        <v>3</v>
      </c>
    </row>
    <row r="7" spans="1:9" ht="30" customHeight="1">
      <c r="A7" s="6">
        <v>6</v>
      </c>
      <c r="B7" s="6" t="s">
        <v>179</v>
      </c>
      <c r="C7" s="6" t="s">
        <v>186</v>
      </c>
      <c r="D7" s="6" t="s">
        <v>108</v>
      </c>
      <c r="E7" s="6" t="s">
        <v>105</v>
      </c>
      <c r="F7" s="110">
        <v>2020</v>
      </c>
      <c r="G7" s="111">
        <v>50</v>
      </c>
      <c r="H7" s="111">
        <v>15</v>
      </c>
      <c r="I7" s="111">
        <v>3</v>
      </c>
    </row>
    <row r="8" spans="1:9" ht="30" customHeight="1">
      <c r="A8" s="6">
        <v>7</v>
      </c>
      <c r="B8" s="6" t="s">
        <v>179</v>
      </c>
      <c r="C8" s="6" t="s">
        <v>81</v>
      </c>
      <c r="D8" s="6" t="s">
        <v>64</v>
      </c>
      <c r="E8" s="6" t="s">
        <v>82</v>
      </c>
      <c r="F8" s="110">
        <v>2020</v>
      </c>
      <c r="G8" s="111">
        <v>50</v>
      </c>
      <c r="H8" s="111">
        <v>18</v>
      </c>
      <c r="I8" s="111">
        <v>3</v>
      </c>
    </row>
    <row r="9" spans="1:9" ht="30" customHeight="1">
      <c r="A9" s="6">
        <v>8</v>
      </c>
      <c r="B9" s="6" t="s">
        <v>179</v>
      </c>
      <c r="C9" s="6" t="s">
        <v>99</v>
      </c>
      <c r="D9" s="6" t="s">
        <v>386</v>
      </c>
      <c r="E9" s="6" t="s">
        <v>190</v>
      </c>
      <c r="F9" s="110">
        <v>2021</v>
      </c>
      <c r="G9" s="111">
        <v>50</v>
      </c>
      <c r="H9" s="111">
        <v>18</v>
      </c>
      <c r="I9" s="111">
        <v>3</v>
      </c>
    </row>
    <row r="10" spans="1:9" ht="30" customHeight="1">
      <c r="A10" s="6">
        <v>9</v>
      </c>
      <c r="B10" s="6" t="s">
        <v>179</v>
      </c>
      <c r="C10" s="6" t="s">
        <v>103</v>
      </c>
      <c r="D10" s="6" t="s">
        <v>386</v>
      </c>
      <c r="E10" s="6" t="s">
        <v>100</v>
      </c>
      <c r="F10" s="110">
        <v>2021</v>
      </c>
      <c r="G10" s="111">
        <v>50</v>
      </c>
      <c r="H10" s="111">
        <v>18</v>
      </c>
      <c r="I10" s="111">
        <v>3</v>
      </c>
    </row>
    <row r="11" spans="1:9" ht="30" customHeight="1">
      <c r="A11" s="6">
        <v>10</v>
      </c>
      <c r="B11" s="6" t="s">
        <v>179</v>
      </c>
      <c r="C11" s="6" t="s">
        <v>101</v>
      </c>
      <c r="D11" s="6" t="s">
        <v>83</v>
      </c>
      <c r="E11" s="6" t="s">
        <v>102</v>
      </c>
      <c r="F11" s="110">
        <v>2022</v>
      </c>
      <c r="G11" s="111">
        <v>50</v>
      </c>
      <c r="H11" s="111">
        <v>15</v>
      </c>
      <c r="I11" s="111">
        <v>3</v>
      </c>
    </row>
    <row r="12" spans="1:9" ht="30" customHeight="1">
      <c r="A12" s="6">
        <v>11</v>
      </c>
      <c r="B12" s="6" t="s">
        <v>179</v>
      </c>
      <c r="C12" s="6" t="s">
        <v>95</v>
      </c>
      <c r="D12" s="6" t="s">
        <v>386</v>
      </c>
      <c r="E12" s="6" t="s">
        <v>96</v>
      </c>
      <c r="F12" s="110">
        <v>2022</v>
      </c>
      <c r="G12" s="111">
        <v>55</v>
      </c>
      <c r="H12" s="111">
        <v>16</v>
      </c>
      <c r="I12" s="111">
        <v>3</v>
      </c>
    </row>
    <row r="13" spans="1:9" ht="30" customHeight="1">
      <c r="A13" s="6">
        <v>12</v>
      </c>
      <c r="B13" s="6" t="s">
        <v>179</v>
      </c>
      <c r="C13" s="6" t="s">
        <v>88</v>
      </c>
      <c r="D13" s="6" t="s">
        <v>90</v>
      </c>
      <c r="E13" s="6" t="s">
        <v>89</v>
      </c>
      <c r="F13" s="110">
        <v>2019</v>
      </c>
      <c r="G13" s="111">
        <v>50</v>
      </c>
      <c r="H13" s="111">
        <v>15</v>
      </c>
      <c r="I13" s="111">
        <v>3</v>
      </c>
    </row>
    <row r="14" spans="1:9" ht="30" customHeight="1">
      <c r="A14" s="6">
        <v>13</v>
      </c>
      <c r="B14" s="6" t="s">
        <v>179</v>
      </c>
      <c r="C14" s="6" t="s">
        <v>106</v>
      </c>
      <c r="D14" s="6" t="s">
        <v>108</v>
      </c>
      <c r="E14" s="6" t="s">
        <v>107</v>
      </c>
      <c r="F14" s="110">
        <v>2023</v>
      </c>
      <c r="G14" s="111">
        <v>50</v>
      </c>
      <c r="H14" s="111">
        <v>18</v>
      </c>
      <c r="I14" s="111">
        <v>3</v>
      </c>
    </row>
    <row r="15" spans="1:9" ht="30" customHeight="1">
      <c r="A15" s="6">
        <v>14</v>
      </c>
      <c r="B15" s="6" t="s">
        <v>179</v>
      </c>
      <c r="C15" s="6" t="s">
        <v>91</v>
      </c>
      <c r="D15" s="41" t="s">
        <v>83</v>
      </c>
      <c r="E15" s="6" t="s">
        <v>92</v>
      </c>
      <c r="F15" s="110">
        <v>2020</v>
      </c>
      <c r="G15" s="111">
        <v>55</v>
      </c>
      <c r="H15" s="111">
        <v>16</v>
      </c>
      <c r="I15" s="111">
        <v>3</v>
      </c>
    </row>
    <row r="16" spans="1:9" ht="30" customHeight="1">
      <c r="A16" s="6">
        <v>15</v>
      </c>
      <c r="B16" s="6" t="s">
        <v>179</v>
      </c>
      <c r="C16" s="6" t="s">
        <v>97</v>
      </c>
      <c r="D16" s="6" t="s">
        <v>83</v>
      </c>
      <c r="E16" s="6" t="s">
        <v>98</v>
      </c>
      <c r="F16" s="110">
        <v>2022</v>
      </c>
      <c r="G16" s="111">
        <v>50</v>
      </c>
      <c r="H16" s="111">
        <v>15</v>
      </c>
      <c r="I16" s="111">
        <v>3</v>
      </c>
    </row>
    <row r="17" spans="1:9" ht="30" customHeight="1">
      <c r="A17" s="6">
        <v>16</v>
      </c>
      <c r="B17" s="6" t="s">
        <v>179</v>
      </c>
      <c r="C17" s="6" t="s">
        <v>62</v>
      </c>
      <c r="D17" s="6" t="s">
        <v>385</v>
      </c>
      <c r="E17" s="6" t="s">
        <v>63</v>
      </c>
      <c r="F17" s="110">
        <v>2019</v>
      </c>
      <c r="G17" s="111">
        <v>46.4</v>
      </c>
      <c r="H17" s="111">
        <v>18</v>
      </c>
      <c r="I17" s="111">
        <v>3</v>
      </c>
    </row>
    <row r="18" spans="1:9" ht="30" customHeight="1">
      <c r="A18" s="6">
        <v>17</v>
      </c>
      <c r="B18" s="6" t="s">
        <v>179</v>
      </c>
      <c r="C18" s="6" t="s">
        <v>112</v>
      </c>
      <c r="D18" s="6" t="s">
        <v>193</v>
      </c>
      <c r="E18" s="6" t="s">
        <v>194</v>
      </c>
      <c r="F18" s="110">
        <v>2024</v>
      </c>
      <c r="G18" s="111">
        <v>50</v>
      </c>
      <c r="H18" s="111">
        <v>18</v>
      </c>
      <c r="I18" s="111">
        <v>3</v>
      </c>
    </row>
    <row r="19" spans="1:9" ht="30" customHeight="1">
      <c r="A19" s="6">
        <v>18</v>
      </c>
      <c r="B19" s="6" t="s">
        <v>179</v>
      </c>
      <c r="C19" s="6" t="s">
        <v>132</v>
      </c>
      <c r="D19" s="6" t="s">
        <v>193</v>
      </c>
      <c r="E19" s="6" t="s">
        <v>133</v>
      </c>
      <c r="F19" s="110">
        <v>2024</v>
      </c>
      <c r="G19" s="111">
        <v>50</v>
      </c>
      <c r="H19" s="111">
        <v>18</v>
      </c>
      <c r="I19" s="111">
        <v>3</v>
      </c>
    </row>
    <row r="20" spans="1:9" ht="30" customHeight="1">
      <c r="A20" s="6">
        <v>19</v>
      </c>
      <c r="B20" s="6" t="s">
        <v>44</v>
      </c>
      <c r="C20" s="6" t="s">
        <v>46</v>
      </c>
      <c r="D20" s="6" t="s">
        <v>23</v>
      </c>
      <c r="E20" s="110" t="s">
        <v>47</v>
      </c>
      <c r="F20" s="110" t="s">
        <v>45</v>
      </c>
      <c r="G20" s="111">
        <v>33.5</v>
      </c>
      <c r="H20" s="111">
        <v>9.6999999999999993</v>
      </c>
      <c r="I20" s="111">
        <v>2.13</v>
      </c>
    </row>
    <row r="21" spans="1:9" ht="30" customHeight="1">
      <c r="A21" s="6">
        <v>20</v>
      </c>
      <c r="B21" s="6" t="s">
        <v>44</v>
      </c>
      <c r="C21" s="6" t="s">
        <v>53</v>
      </c>
      <c r="D21" s="6" t="s">
        <v>55</v>
      </c>
      <c r="E21" s="110" t="s">
        <v>54</v>
      </c>
      <c r="F21" s="110">
        <v>1999</v>
      </c>
      <c r="G21" s="111">
        <v>36.5</v>
      </c>
      <c r="H21" s="111">
        <v>9.9</v>
      </c>
      <c r="I21" s="111">
        <v>2.75</v>
      </c>
    </row>
    <row r="22" spans="1:9" ht="30" customHeight="1">
      <c r="A22" s="6">
        <v>21</v>
      </c>
      <c r="B22" s="6" t="s">
        <v>44</v>
      </c>
      <c r="C22" s="6" t="s">
        <v>50</v>
      </c>
      <c r="D22" s="6" t="s">
        <v>39</v>
      </c>
      <c r="E22" s="110" t="s">
        <v>51</v>
      </c>
      <c r="F22" s="110">
        <v>1996</v>
      </c>
      <c r="G22" s="111">
        <v>40.4</v>
      </c>
      <c r="H22" s="111">
        <v>10</v>
      </c>
      <c r="I22" s="111">
        <v>2.8</v>
      </c>
    </row>
    <row r="23" spans="1:9" ht="30" customHeight="1">
      <c r="A23" s="6">
        <v>22</v>
      </c>
      <c r="B23" s="6" t="s">
        <v>15</v>
      </c>
      <c r="C23" s="6" t="s">
        <v>16</v>
      </c>
      <c r="D23" s="6" t="s">
        <v>197</v>
      </c>
      <c r="E23" s="110" t="s">
        <v>17</v>
      </c>
      <c r="F23" s="110">
        <v>2009</v>
      </c>
      <c r="G23" s="111">
        <v>36</v>
      </c>
      <c r="H23" s="111">
        <v>10</v>
      </c>
      <c r="I23" s="111">
        <v>2.75</v>
      </c>
    </row>
    <row r="24" spans="1:9" ht="30" customHeight="1">
      <c r="A24" s="6">
        <v>23</v>
      </c>
      <c r="B24" s="6" t="s">
        <v>15</v>
      </c>
      <c r="C24" s="6" t="s">
        <v>21</v>
      </c>
      <c r="D24" s="6" t="s">
        <v>23</v>
      </c>
      <c r="E24" s="110" t="s">
        <v>22</v>
      </c>
      <c r="F24" s="110">
        <v>2009</v>
      </c>
      <c r="G24" s="111">
        <v>36</v>
      </c>
      <c r="H24" s="111">
        <v>10</v>
      </c>
      <c r="I24" s="111">
        <v>2.75</v>
      </c>
    </row>
    <row r="25" spans="1:9" ht="30" customHeight="1">
      <c r="A25" s="6">
        <v>24</v>
      </c>
      <c r="B25" s="6" t="s">
        <v>15</v>
      </c>
      <c r="C25" s="6" t="s">
        <v>25</v>
      </c>
      <c r="D25" s="6" t="s">
        <v>23</v>
      </c>
      <c r="E25" s="110" t="s">
        <v>26</v>
      </c>
      <c r="F25" s="110">
        <v>2009</v>
      </c>
      <c r="G25" s="111">
        <v>38.299999999999997</v>
      </c>
      <c r="H25" s="111">
        <v>10</v>
      </c>
      <c r="I25" s="111">
        <v>2.7</v>
      </c>
    </row>
    <row r="26" spans="1:9" ht="30" customHeight="1">
      <c r="A26" s="6">
        <v>25</v>
      </c>
      <c r="B26" s="6" t="s">
        <v>32</v>
      </c>
      <c r="C26" s="6" t="s">
        <v>68</v>
      </c>
      <c r="D26" s="6" t="s">
        <v>64</v>
      </c>
      <c r="E26" s="110" t="s">
        <v>69</v>
      </c>
      <c r="F26" s="110">
        <v>2006</v>
      </c>
      <c r="G26" s="111">
        <v>60</v>
      </c>
      <c r="H26" s="111">
        <v>12</v>
      </c>
      <c r="I26" s="111">
        <v>4</v>
      </c>
    </row>
    <row r="27" spans="1:9" ht="30" customHeight="1">
      <c r="A27" s="6">
        <v>26</v>
      </c>
      <c r="B27" s="6" t="s">
        <v>32</v>
      </c>
      <c r="C27" s="6" t="s">
        <v>73</v>
      </c>
      <c r="D27" s="6" t="s">
        <v>64</v>
      </c>
      <c r="E27" s="110" t="s">
        <v>74</v>
      </c>
      <c r="F27" s="110" t="s">
        <v>72</v>
      </c>
      <c r="G27" s="111">
        <v>60</v>
      </c>
      <c r="H27" s="111">
        <v>12.5</v>
      </c>
      <c r="I27" s="111">
        <v>4</v>
      </c>
    </row>
    <row r="28" spans="1:9" ht="30" customHeight="1">
      <c r="A28" s="6">
        <v>27</v>
      </c>
      <c r="B28" s="6" t="s">
        <v>32</v>
      </c>
      <c r="C28" s="6" t="s">
        <v>76</v>
      </c>
      <c r="D28" s="34" t="s">
        <v>198</v>
      </c>
      <c r="E28" s="110" t="s">
        <v>77</v>
      </c>
      <c r="F28" s="110">
        <v>2006</v>
      </c>
      <c r="G28" s="111">
        <v>60</v>
      </c>
      <c r="H28" s="111">
        <v>12.5</v>
      </c>
      <c r="I28" s="111">
        <v>4</v>
      </c>
    </row>
    <row r="29" spans="1:9" ht="30" customHeight="1">
      <c r="A29" s="6">
        <v>28</v>
      </c>
      <c r="B29" s="6" t="s">
        <v>32</v>
      </c>
      <c r="C29" s="6" t="s">
        <v>79</v>
      </c>
      <c r="D29" s="6" t="s">
        <v>64</v>
      </c>
      <c r="E29" s="110" t="s">
        <v>80</v>
      </c>
      <c r="F29" s="110" t="s">
        <v>72</v>
      </c>
      <c r="G29" s="111">
        <v>60</v>
      </c>
      <c r="H29" s="111">
        <v>12.5</v>
      </c>
      <c r="I29" s="111">
        <v>4</v>
      </c>
    </row>
    <row r="30" spans="1:9" ht="30" customHeight="1">
      <c r="A30" s="6">
        <v>29</v>
      </c>
      <c r="B30" s="6" t="s">
        <v>32</v>
      </c>
      <c r="C30" s="6" t="s">
        <v>33</v>
      </c>
      <c r="D30" s="6" t="s">
        <v>30</v>
      </c>
      <c r="E30" s="110" t="s">
        <v>34</v>
      </c>
      <c r="F30" s="110">
        <v>1997</v>
      </c>
      <c r="G30" s="111">
        <v>65</v>
      </c>
      <c r="H30" s="111">
        <v>12.3</v>
      </c>
      <c r="I30" s="111">
        <v>4</v>
      </c>
    </row>
    <row r="31" spans="1:9" ht="30" customHeight="1">
      <c r="A31" s="6">
        <v>30</v>
      </c>
      <c r="B31" s="6" t="s">
        <v>27</v>
      </c>
      <c r="C31" s="6" t="s">
        <v>41</v>
      </c>
      <c r="D31" s="6" t="s">
        <v>197</v>
      </c>
      <c r="E31" s="110" t="s">
        <v>42</v>
      </c>
      <c r="F31" s="110">
        <v>1997</v>
      </c>
      <c r="G31" s="111">
        <v>15.25</v>
      </c>
      <c r="H31" s="111">
        <v>5</v>
      </c>
      <c r="I31" s="111">
        <v>2.35</v>
      </c>
    </row>
    <row r="32" spans="1:9" ht="30" customHeight="1">
      <c r="A32" s="6">
        <v>31</v>
      </c>
      <c r="B32" s="6" t="s">
        <v>27</v>
      </c>
      <c r="C32" s="6" t="s">
        <v>37</v>
      </c>
      <c r="D32" s="6" t="s">
        <v>39</v>
      </c>
      <c r="E32" s="110" t="s">
        <v>38</v>
      </c>
      <c r="F32" s="110">
        <v>1991</v>
      </c>
      <c r="G32" s="111">
        <v>19.93</v>
      </c>
      <c r="H32" s="111">
        <v>6.4</v>
      </c>
      <c r="I32" s="111">
        <v>4</v>
      </c>
    </row>
    <row r="33" spans="1:9" ht="30" customHeight="1">
      <c r="A33" s="6">
        <v>32</v>
      </c>
      <c r="B33" s="6" t="s">
        <v>27</v>
      </c>
      <c r="C33" s="6" t="s">
        <v>28</v>
      </c>
      <c r="D33" s="6" t="s">
        <v>30</v>
      </c>
      <c r="E33" s="110" t="s">
        <v>29</v>
      </c>
      <c r="F33" s="110">
        <v>1997</v>
      </c>
      <c r="G33" s="111">
        <v>15</v>
      </c>
      <c r="H33" s="111">
        <v>5</v>
      </c>
      <c r="I33" s="111">
        <v>2.75</v>
      </c>
    </row>
    <row r="34" spans="1:9" ht="30" customHeight="1">
      <c r="A34" s="6">
        <v>33</v>
      </c>
      <c r="B34" s="6" t="s">
        <v>27</v>
      </c>
      <c r="C34" s="6" t="s">
        <v>48</v>
      </c>
      <c r="D34" s="6" t="s">
        <v>39</v>
      </c>
      <c r="E34" s="110" t="s">
        <v>200</v>
      </c>
      <c r="F34" s="110">
        <v>2008</v>
      </c>
      <c r="G34" s="111">
        <v>20</v>
      </c>
      <c r="H34" s="111">
        <v>6</v>
      </c>
      <c r="I34" s="111">
        <v>2.8</v>
      </c>
    </row>
    <row r="35" spans="1:9" ht="30" customHeight="1">
      <c r="A35" s="6">
        <v>34</v>
      </c>
      <c r="B35" s="6" t="s">
        <v>27</v>
      </c>
      <c r="C35" s="6" t="s">
        <v>169</v>
      </c>
      <c r="D35" s="6" t="s">
        <v>202</v>
      </c>
      <c r="E35" s="110">
        <v>4394</v>
      </c>
      <c r="F35" s="110">
        <v>2016</v>
      </c>
      <c r="G35" s="111">
        <v>20.36</v>
      </c>
      <c r="H35" s="111">
        <v>6.5</v>
      </c>
      <c r="I35" s="111">
        <v>2.8</v>
      </c>
    </row>
  </sheetData>
  <pageMargins left="0.39" right="0.34" top="0.97" bottom="0.32" header="0.31496062992125984" footer="0.31496062992125984"/>
  <pageSetup paperSize="9" scale="6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50"/>
  <sheetViews>
    <sheetView topLeftCell="A10" zoomScale="125" zoomScaleNormal="125" workbookViewId="0">
      <selection activeCell="H16" sqref="H16"/>
    </sheetView>
  </sheetViews>
  <sheetFormatPr defaultColWidth="8.85546875" defaultRowHeight="15"/>
  <cols>
    <col min="1" max="1" width="3.85546875" customWidth="1"/>
    <col min="2" max="2" width="12" customWidth="1"/>
    <col min="3" max="3" width="24.85546875" customWidth="1"/>
    <col min="4" max="4" width="10.7109375" customWidth="1"/>
    <col min="5" max="5" width="14.7109375" customWidth="1"/>
    <col min="6" max="6" width="11.85546875" customWidth="1"/>
    <col min="7" max="7" width="9.85546875" customWidth="1"/>
    <col min="8" max="8" width="14.85546875" customWidth="1"/>
    <col min="9" max="9" width="13" customWidth="1"/>
    <col min="10" max="10" width="14.28515625" customWidth="1"/>
    <col min="11" max="13" width="13.5703125" customWidth="1"/>
    <col min="14" max="14" width="10.140625" customWidth="1"/>
    <col min="15" max="15" width="18" customWidth="1"/>
    <col min="16" max="16" width="27" customWidth="1"/>
    <col min="17" max="17" width="11" customWidth="1"/>
    <col min="18" max="18" width="11.7109375" customWidth="1"/>
    <col min="19" max="19" width="10.85546875" customWidth="1"/>
  </cols>
  <sheetData>
    <row r="1" spans="1:18" s="24" customFormat="1" ht="45">
      <c r="A1" s="22" t="s">
        <v>1</v>
      </c>
      <c r="B1" s="25"/>
      <c r="C1" s="26" t="s">
        <v>162</v>
      </c>
      <c r="D1" s="26" t="s">
        <v>205</v>
      </c>
      <c r="E1" s="27" t="s">
        <v>206</v>
      </c>
      <c r="F1" s="28" t="s">
        <v>207</v>
      </c>
      <c r="G1" s="27" t="s">
        <v>208</v>
      </c>
      <c r="H1" s="26" t="s">
        <v>209</v>
      </c>
      <c r="I1" s="26" t="s">
        <v>210</v>
      </c>
      <c r="J1" s="26" t="s">
        <v>211</v>
      </c>
      <c r="K1" s="26" t="s">
        <v>212</v>
      </c>
      <c r="L1" s="26" t="s">
        <v>213</v>
      </c>
      <c r="M1" s="26" t="s">
        <v>369</v>
      </c>
      <c r="N1" s="26" t="s">
        <v>214</v>
      </c>
      <c r="O1" s="26" t="s">
        <v>215</v>
      </c>
      <c r="P1" s="26" t="s">
        <v>216</v>
      </c>
      <c r="Q1" s="26" t="s">
        <v>217</v>
      </c>
      <c r="R1" s="26" t="s">
        <v>218</v>
      </c>
    </row>
    <row r="2" spans="1:18" ht="16.5" customHeight="1">
      <c r="A2" s="6">
        <v>1</v>
      </c>
      <c r="B2" s="29" t="s">
        <v>219</v>
      </c>
      <c r="C2" s="19" t="s">
        <v>16</v>
      </c>
      <c r="D2" s="30">
        <v>44581</v>
      </c>
      <c r="E2" s="31">
        <v>19500000</v>
      </c>
      <c r="F2" s="32">
        <v>20000000</v>
      </c>
      <c r="G2" s="33">
        <f t="shared" ref="G2:G10" si="0">(I2*100000)/E2</f>
        <v>389.22051282051279</v>
      </c>
      <c r="H2" s="34">
        <v>44569</v>
      </c>
      <c r="I2" s="46">
        <v>75898</v>
      </c>
      <c r="J2" s="37">
        <v>44205</v>
      </c>
      <c r="K2" s="37">
        <v>44295</v>
      </c>
      <c r="L2" s="37">
        <v>44386</v>
      </c>
      <c r="M2" s="37">
        <v>44478</v>
      </c>
      <c r="N2" s="6">
        <v>2009</v>
      </c>
      <c r="O2" s="19" t="s">
        <v>220</v>
      </c>
      <c r="P2" s="19" t="s">
        <v>221</v>
      </c>
      <c r="Q2" s="19" t="s">
        <v>19</v>
      </c>
      <c r="R2" s="19" t="s">
        <v>222</v>
      </c>
    </row>
    <row r="3" spans="1:18">
      <c r="A3" s="6">
        <v>2</v>
      </c>
      <c r="B3" s="29" t="s">
        <v>223</v>
      </c>
      <c r="C3" s="19" t="s">
        <v>46</v>
      </c>
      <c r="D3" s="30">
        <v>45299</v>
      </c>
      <c r="E3" s="31">
        <v>10000000</v>
      </c>
      <c r="F3" s="32" t="s">
        <v>224</v>
      </c>
      <c r="G3" s="33">
        <f t="shared" si="0"/>
        <v>561</v>
      </c>
      <c r="H3" s="34">
        <v>44920</v>
      </c>
      <c r="I3" s="46">
        <v>56100</v>
      </c>
      <c r="J3" s="37">
        <v>44556</v>
      </c>
      <c r="K3" s="37">
        <v>44646</v>
      </c>
      <c r="L3" s="37">
        <v>44738</v>
      </c>
      <c r="M3" s="37">
        <v>44830</v>
      </c>
      <c r="N3" s="6" t="s">
        <v>45</v>
      </c>
      <c r="O3" s="19" t="s">
        <v>220</v>
      </c>
      <c r="P3" s="19" t="s">
        <v>221</v>
      </c>
      <c r="Q3" s="19" t="s">
        <v>19</v>
      </c>
      <c r="R3" s="19" t="s">
        <v>225</v>
      </c>
    </row>
    <row r="4" spans="1:18" ht="15" customHeight="1">
      <c r="A4" s="6">
        <v>3</v>
      </c>
      <c r="B4" s="29" t="s">
        <v>27</v>
      </c>
      <c r="C4" s="19" t="s">
        <v>37</v>
      </c>
      <c r="D4" s="30">
        <v>44991</v>
      </c>
      <c r="E4" s="31">
        <v>7800000</v>
      </c>
      <c r="F4" s="35" t="s">
        <v>226</v>
      </c>
      <c r="G4" s="33">
        <f t="shared" si="0"/>
        <v>503.24358974358972</v>
      </c>
      <c r="H4" s="36">
        <v>45005</v>
      </c>
      <c r="I4" s="46">
        <v>39253</v>
      </c>
      <c r="J4" s="47" t="s">
        <v>227</v>
      </c>
      <c r="K4" s="48"/>
      <c r="L4" s="37"/>
      <c r="M4" s="37"/>
      <c r="N4" s="6">
        <v>1991</v>
      </c>
      <c r="O4" s="19" t="s">
        <v>220</v>
      </c>
      <c r="P4" s="19" t="s">
        <v>228</v>
      </c>
      <c r="Q4" s="19" t="s">
        <v>19</v>
      </c>
      <c r="R4" s="19" t="s">
        <v>225</v>
      </c>
    </row>
    <row r="5" spans="1:18">
      <c r="A5" s="6">
        <v>4</v>
      </c>
      <c r="B5" s="29" t="s">
        <v>219</v>
      </c>
      <c r="C5" s="19" t="s">
        <v>25</v>
      </c>
      <c r="D5" s="30">
        <v>45299</v>
      </c>
      <c r="E5" s="31">
        <v>20000000</v>
      </c>
      <c r="F5" s="32" t="s">
        <v>224</v>
      </c>
      <c r="G5" s="33">
        <f t="shared" si="0"/>
        <v>477.28500000000003</v>
      </c>
      <c r="H5" s="34">
        <v>45313</v>
      </c>
      <c r="I5" s="46">
        <v>95457</v>
      </c>
      <c r="J5" s="37">
        <v>44949</v>
      </c>
      <c r="K5" s="37">
        <v>45039</v>
      </c>
      <c r="L5" s="37">
        <v>45130</v>
      </c>
      <c r="M5" s="37">
        <v>45222</v>
      </c>
      <c r="N5" s="6">
        <v>2008</v>
      </c>
      <c r="O5" s="19" t="s">
        <v>220</v>
      </c>
      <c r="P5" s="19" t="s">
        <v>228</v>
      </c>
      <c r="Q5" s="19" t="s">
        <v>19</v>
      </c>
      <c r="R5" s="19" t="s">
        <v>225</v>
      </c>
    </row>
    <row r="6" spans="1:18">
      <c r="A6" s="6">
        <v>5</v>
      </c>
      <c r="B6" s="29" t="s">
        <v>219</v>
      </c>
      <c r="C6" s="19" t="s">
        <v>229</v>
      </c>
      <c r="D6" s="37">
        <v>45299</v>
      </c>
      <c r="E6" s="31">
        <v>20000000</v>
      </c>
      <c r="F6" s="38" t="s">
        <v>224</v>
      </c>
      <c r="G6" s="33">
        <f t="shared" si="0"/>
        <v>477.28500000000003</v>
      </c>
      <c r="H6" s="34">
        <v>45315</v>
      </c>
      <c r="I6" s="46">
        <v>95457</v>
      </c>
      <c r="J6" s="37">
        <v>44951</v>
      </c>
      <c r="K6" s="37">
        <v>45041</v>
      </c>
      <c r="L6" s="37">
        <v>45132</v>
      </c>
      <c r="M6" s="37">
        <v>45224</v>
      </c>
      <c r="N6" s="6">
        <v>2009</v>
      </c>
      <c r="O6" s="19" t="s">
        <v>220</v>
      </c>
      <c r="P6" s="19" t="s">
        <v>228</v>
      </c>
      <c r="Q6" s="19" t="s">
        <v>19</v>
      </c>
      <c r="R6" s="19" t="s">
        <v>225</v>
      </c>
    </row>
    <row r="7" spans="1:18">
      <c r="A7" s="6">
        <v>6</v>
      </c>
      <c r="B7" s="29" t="s">
        <v>223</v>
      </c>
      <c r="C7" s="19" t="s">
        <v>230</v>
      </c>
      <c r="D7" s="37">
        <v>45857</v>
      </c>
      <c r="E7" s="31">
        <v>25000000</v>
      </c>
      <c r="F7" s="38" t="s">
        <v>224</v>
      </c>
      <c r="G7" s="33">
        <f t="shared" si="0"/>
        <v>458.4</v>
      </c>
      <c r="H7" s="34">
        <v>45688</v>
      </c>
      <c r="I7" s="46">
        <v>114600</v>
      </c>
      <c r="J7" s="37">
        <v>45323</v>
      </c>
      <c r="K7" s="37">
        <v>45413</v>
      </c>
      <c r="L7" s="37">
        <v>45505</v>
      </c>
      <c r="M7" s="37">
        <v>45597</v>
      </c>
      <c r="N7" s="6">
        <v>2019</v>
      </c>
      <c r="O7" s="19" t="s">
        <v>220</v>
      </c>
      <c r="P7" s="19" t="s">
        <v>228</v>
      </c>
      <c r="Q7" s="19" t="s">
        <v>61</v>
      </c>
      <c r="R7" s="37" t="s">
        <v>231</v>
      </c>
    </row>
    <row r="8" spans="1:18">
      <c r="A8" s="6">
        <v>7</v>
      </c>
      <c r="B8" s="29" t="s">
        <v>223</v>
      </c>
      <c r="C8" s="19" t="s">
        <v>232</v>
      </c>
      <c r="D8" s="37">
        <v>46099</v>
      </c>
      <c r="E8" s="31">
        <v>70875000</v>
      </c>
      <c r="F8" s="38"/>
      <c r="G8" s="33">
        <f t="shared" si="0"/>
        <v>710.4759082892416</v>
      </c>
      <c r="H8" s="34">
        <v>45709</v>
      </c>
      <c r="I8" s="46">
        <v>503549.8</v>
      </c>
      <c r="J8" s="47" t="s">
        <v>227</v>
      </c>
      <c r="K8" s="47" t="s">
        <v>233</v>
      </c>
      <c r="L8" s="37"/>
      <c r="M8" s="37"/>
      <c r="N8" s="6"/>
      <c r="O8" s="19"/>
      <c r="P8" s="19" t="s">
        <v>234</v>
      </c>
      <c r="Q8" s="19"/>
      <c r="R8" s="37"/>
    </row>
    <row r="9" spans="1:18" ht="15.75" customHeight="1">
      <c r="A9" s="6">
        <v>8</v>
      </c>
      <c r="B9" s="29" t="s">
        <v>27</v>
      </c>
      <c r="C9" s="19" t="s">
        <v>169</v>
      </c>
      <c r="D9" s="30">
        <v>45493</v>
      </c>
      <c r="E9" s="31">
        <v>35000000</v>
      </c>
      <c r="F9" s="32"/>
      <c r="G9" s="33">
        <f t="shared" si="0"/>
        <v>374.22857142857146</v>
      </c>
      <c r="H9" s="34">
        <v>45863</v>
      </c>
      <c r="I9" s="46">
        <v>130980</v>
      </c>
      <c r="J9" s="47" t="s">
        <v>227</v>
      </c>
      <c r="K9" s="37"/>
      <c r="L9" s="37"/>
      <c r="M9" s="37"/>
      <c r="N9" s="6">
        <v>2016</v>
      </c>
      <c r="O9" s="19" t="s">
        <v>220</v>
      </c>
      <c r="P9" s="19" t="s">
        <v>221</v>
      </c>
      <c r="Q9" s="19" t="s">
        <v>118</v>
      </c>
      <c r="R9" s="19" t="s">
        <v>225</v>
      </c>
    </row>
    <row r="10" spans="1:18">
      <c r="A10" s="6">
        <v>9</v>
      </c>
      <c r="B10" s="29" t="s">
        <v>32</v>
      </c>
      <c r="C10" s="19" t="s">
        <v>33</v>
      </c>
      <c r="D10" s="30">
        <v>46520</v>
      </c>
      <c r="E10" s="31">
        <v>20000000</v>
      </c>
      <c r="F10" s="32" t="s">
        <v>226</v>
      </c>
      <c r="G10" s="33">
        <f t="shared" si="0"/>
        <v>353.98</v>
      </c>
      <c r="H10" s="34">
        <v>45864</v>
      </c>
      <c r="I10" s="46">
        <v>70796</v>
      </c>
      <c r="J10" s="37">
        <v>45500</v>
      </c>
      <c r="K10" s="37">
        <v>45592</v>
      </c>
      <c r="L10" s="37">
        <v>45684</v>
      </c>
      <c r="M10" s="37">
        <v>45774</v>
      </c>
      <c r="N10" s="6" t="s">
        <v>237</v>
      </c>
      <c r="O10" s="19" t="s">
        <v>220</v>
      </c>
      <c r="P10" s="19" t="s">
        <v>228</v>
      </c>
      <c r="Q10" s="19" t="s">
        <v>35</v>
      </c>
      <c r="R10" s="19" t="s">
        <v>225</v>
      </c>
    </row>
    <row r="11" spans="1:18">
      <c r="A11" s="6">
        <v>10</v>
      </c>
      <c r="B11" s="29" t="s">
        <v>223</v>
      </c>
      <c r="C11" s="19" t="s">
        <v>93</v>
      </c>
      <c r="D11" s="37">
        <v>46038</v>
      </c>
      <c r="E11" s="31">
        <v>42500000</v>
      </c>
      <c r="F11" s="32"/>
      <c r="G11" s="33">
        <f t="shared" ref="G11:G37" si="1">(I11*100000)/E11</f>
        <v>404.7105882352941</v>
      </c>
      <c r="H11" s="34">
        <v>46047</v>
      </c>
      <c r="I11" s="46">
        <v>172002</v>
      </c>
      <c r="J11" s="37">
        <v>45682</v>
      </c>
      <c r="K11" s="37">
        <v>45772</v>
      </c>
      <c r="L11" s="37">
        <v>45863</v>
      </c>
      <c r="M11" s="37">
        <v>45955</v>
      </c>
      <c r="N11" s="6">
        <v>2019</v>
      </c>
      <c r="O11" s="19" t="s">
        <v>220</v>
      </c>
      <c r="P11" s="19" t="s">
        <v>228</v>
      </c>
      <c r="Q11" s="19" t="s">
        <v>67</v>
      </c>
      <c r="R11" s="19" t="s">
        <v>225</v>
      </c>
    </row>
    <row r="12" spans="1:18" ht="14.25" customHeight="1">
      <c r="A12" s="6">
        <v>11</v>
      </c>
      <c r="B12" s="29" t="s">
        <v>27</v>
      </c>
      <c r="C12" s="19" t="s">
        <v>41</v>
      </c>
      <c r="D12" s="30">
        <v>46030</v>
      </c>
      <c r="E12" s="31">
        <v>6000000</v>
      </c>
      <c r="F12" s="32"/>
      <c r="G12" s="33">
        <f t="shared" si="1"/>
        <v>482</v>
      </c>
      <c r="H12" s="34">
        <v>46049</v>
      </c>
      <c r="I12" s="46">
        <v>28920</v>
      </c>
      <c r="J12" s="47" t="s">
        <v>227</v>
      </c>
      <c r="K12" s="37"/>
      <c r="L12" s="37"/>
      <c r="M12" s="37"/>
      <c r="N12" s="6">
        <v>1997</v>
      </c>
      <c r="O12" s="19" t="s">
        <v>220</v>
      </c>
      <c r="P12" s="19" t="s">
        <v>228</v>
      </c>
      <c r="Q12" s="19" t="s">
        <v>19</v>
      </c>
      <c r="R12" s="19" t="s">
        <v>225</v>
      </c>
    </row>
    <row r="13" spans="1:18">
      <c r="A13" s="6">
        <v>12</v>
      </c>
      <c r="B13" s="29" t="s">
        <v>27</v>
      </c>
      <c r="C13" s="19" t="s">
        <v>28</v>
      </c>
      <c r="D13" s="30">
        <v>46060</v>
      </c>
      <c r="E13" s="31">
        <v>5000000</v>
      </c>
      <c r="F13" s="32"/>
      <c r="G13" s="33">
        <f t="shared" si="1"/>
        <v>438.34</v>
      </c>
      <c r="H13" s="34">
        <v>46081</v>
      </c>
      <c r="I13" s="46">
        <v>21917</v>
      </c>
      <c r="J13" s="51" t="s">
        <v>227</v>
      </c>
      <c r="K13" s="52"/>
      <c r="L13" s="53"/>
      <c r="M13" s="53"/>
      <c r="N13" s="6">
        <v>1997</v>
      </c>
      <c r="O13" s="19" t="s">
        <v>220</v>
      </c>
      <c r="P13" s="19" t="s">
        <v>228</v>
      </c>
      <c r="Q13" s="19" t="s">
        <v>19</v>
      </c>
      <c r="R13" s="19" t="s">
        <v>225</v>
      </c>
    </row>
    <row r="14" spans="1:18">
      <c r="A14" s="6">
        <v>13</v>
      </c>
      <c r="B14" s="29" t="s">
        <v>223</v>
      </c>
      <c r="C14" s="19" t="s">
        <v>235</v>
      </c>
      <c r="D14" s="37">
        <v>46153</v>
      </c>
      <c r="E14" s="31">
        <v>61100000</v>
      </c>
      <c r="F14" s="38"/>
      <c r="G14" s="33">
        <f t="shared" ref="G14:G20" si="2">(I14*100000)/E14</f>
        <v>490.26022913256958</v>
      </c>
      <c r="H14" s="34">
        <v>46157</v>
      </c>
      <c r="I14" s="46">
        <v>299549</v>
      </c>
      <c r="J14" s="37">
        <v>45793</v>
      </c>
      <c r="K14" s="37">
        <v>45885</v>
      </c>
      <c r="L14" s="37">
        <v>45977</v>
      </c>
      <c r="M14" s="37">
        <v>46069</v>
      </c>
      <c r="N14" s="6">
        <v>2022</v>
      </c>
      <c r="O14" s="19" t="s">
        <v>220</v>
      </c>
      <c r="P14" s="19" t="s">
        <v>236</v>
      </c>
      <c r="Q14" s="19" t="s">
        <v>84</v>
      </c>
      <c r="R14" s="19" t="s">
        <v>225</v>
      </c>
    </row>
    <row r="15" spans="1:18">
      <c r="A15" s="6">
        <v>14</v>
      </c>
      <c r="B15" s="29" t="s">
        <v>223</v>
      </c>
      <c r="C15" s="19" t="s">
        <v>58</v>
      </c>
      <c r="D15" s="30">
        <v>46523</v>
      </c>
      <c r="E15" s="31">
        <v>40250000</v>
      </c>
      <c r="F15" s="32"/>
      <c r="G15" s="33">
        <f t="shared" si="2"/>
        <v>417.86335403726707</v>
      </c>
      <c r="H15" s="34">
        <v>46170</v>
      </c>
      <c r="I15" s="46">
        <v>168190</v>
      </c>
      <c r="J15" s="37">
        <v>45806</v>
      </c>
      <c r="K15" s="37">
        <v>45898</v>
      </c>
      <c r="L15" s="37">
        <v>45990</v>
      </c>
      <c r="M15" s="37">
        <v>46081</v>
      </c>
      <c r="N15" s="6">
        <v>2018</v>
      </c>
      <c r="O15" s="19" t="s">
        <v>220</v>
      </c>
      <c r="P15" s="19" t="s">
        <v>221</v>
      </c>
      <c r="Q15" s="19" t="s">
        <v>19</v>
      </c>
      <c r="R15" s="19" t="s">
        <v>225</v>
      </c>
    </row>
    <row r="16" spans="1:18">
      <c r="A16" s="6">
        <v>15</v>
      </c>
      <c r="B16" s="29" t="s">
        <v>223</v>
      </c>
      <c r="C16" s="19" t="s">
        <v>97</v>
      </c>
      <c r="D16" s="37">
        <v>46535</v>
      </c>
      <c r="E16" s="31">
        <v>64675000</v>
      </c>
      <c r="F16" s="38"/>
      <c r="G16" s="33">
        <f t="shared" si="2"/>
        <v>411.20061847700038</v>
      </c>
      <c r="H16" s="34">
        <v>46171</v>
      </c>
      <c r="I16" s="46">
        <v>265944</v>
      </c>
      <c r="J16" s="37">
        <v>45807</v>
      </c>
      <c r="K16" s="37">
        <v>45899</v>
      </c>
      <c r="L16" s="37">
        <v>45991</v>
      </c>
      <c r="M16" s="37">
        <v>46081</v>
      </c>
      <c r="N16" s="6">
        <v>2022</v>
      </c>
      <c r="O16" s="19" t="s">
        <v>220</v>
      </c>
      <c r="P16" s="19" t="s">
        <v>228</v>
      </c>
      <c r="Q16" s="19" t="s">
        <v>61</v>
      </c>
      <c r="R16" s="19" t="s">
        <v>225</v>
      </c>
    </row>
    <row r="17" spans="1:18">
      <c r="A17" s="6">
        <v>16</v>
      </c>
      <c r="B17" s="29" t="s">
        <v>32</v>
      </c>
      <c r="C17" s="19" t="s">
        <v>73</v>
      </c>
      <c r="D17" s="30">
        <v>46170</v>
      </c>
      <c r="E17" s="31">
        <v>45000000</v>
      </c>
      <c r="F17" s="32"/>
      <c r="G17" s="33">
        <f t="shared" si="2"/>
        <v>575.75111111111107</v>
      </c>
      <c r="H17" s="34">
        <v>46178</v>
      </c>
      <c r="I17" s="46">
        <v>259088</v>
      </c>
      <c r="J17" s="37">
        <v>45814</v>
      </c>
      <c r="K17" s="37">
        <v>45906</v>
      </c>
      <c r="L17" s="37">
        <v>45997</v>
      </c>
      <c r="M17" s="37">
        <v>46087</v>
      </c>
      <c r="N17" s="6" t="s">
        <v>72</v>
      </c>
      <c r="O17" s="19" t="s">
        <v>220</v>
      </c>
      <c r="P17" s="19" t="s">
        <v>228</v>
      </c>
      <c r="Q17" s="19" t="s">
        <v>35</v>
      </c>
      <c r="R17" s="19" t="s">
        <v>225</v>
      </c>
    </row>
    <row r="18" spans="1:18">
      <c r="A18" s="6">
        <v>17</v>
      </c>
      <c r="B18" s="29" t="s">
        <v>32</v>
      </c>
      <c r="C18" s="19" t="s">
        <v>79</v>
      </c>
      <c r="D18" s="30">
        <v>46170</v>
      </c>
      <c r="E18" s="31">
        <v>45000000</v>
      </c>
      <c r="F18" s="32"/>
      <c r="G18" s="33">
        <f t="shared" si="2"/>
        <v>562.58888888888885</v>
      </c>
      <c r="H18" s="34">
        <v>46178</v>
      </c>
      <c r="I18" s="46">
        <v>253165</v>
      </c>
      <c r="J18" s="37">
        <v>45814</v>
      </c>
      <c r="K18" s="37">
        <v>45906</v>
      </c>
      <c r="L18" s="37">
        <v>45997</v>
      </c>
      <c r="M18" s="37">
        <v>46087</v>
      </c>
      <c r="N18" s="6" t="s">
        <v>78</v>
      </c>
      <c r="O18" s="19" t="s">
        <v>220</v>
      </c>
      <c r="P18" s="19" t="s">
        <v>228</v>
      </c>
      <c r="Q18" s="19" t="s">
        <v>35</v>
      </c>
      <c r="R18" s="19" t="s">
        <v>225</v>
      </c>
    </row>
    <row r="19" spans="1:18">
      <c r="A19" s="6">
        <v>18</v>
      </c>
      <c r="B19" s="29" t="s">
        <v>223</v>
      </c>
      <c r="C19" s="19" t="s">
        <v>238</v>
      </c>
      <c r="D19" s="37">
        <v>46228</v>
      </c>
      <c r="E19" s="31">
        <v>45570000</v>
      </c>
      <c r="F19" s="38"/>
      <c r="G19" s="33">
        <f t="shared" si="2"/>
        <v>470.49594031160854</v>
      </c>
      <c r="H19" s="34">
        <v>46237</v>
      </c>
      <c r="I19" s="46">
        <v>214405</v>
      </c>
      <c r="J19" s="37">
        <v>45873</v>
      </c>
      <c r="K19" s="37">
        <v>45965</v>
      </c>
      <c r="L19" s="37">
        <v>46057</v>
      </c>
      <c r="M19" s="37">
        <v>46146</v>
      </c>
      <c r="N19" s="6">
        <v>2020</v>
      </c>
      <c r="O19" s="19" t="s">
        <v>220</v>
      </c>
      <c r="P19" s="19" t="s">
        <v>228</v>
      </c>
      <c r="Q19" s="19" t="s">
        <v>109</v>
      </c>
      <c r="R19" s="37" t="s">
        <v>222</v>
      </c>
    </row>
    <row r="20" spans="1:18">
      <c r="A20" s="6">
        <v>19</v>
      </c>
      <c r="B20" s="29" t="s">
        <v>223</v>
      </c>
      <c r="C20" s="19" t="s">
        <v>239</v>
      </c>
      <c r="D20" s="37">
        <v>46599</v>
      </c>
      <c r="E20" s="31">
        <v>49800000</v>
      </c>
      <c r="F20" s="38"/>
      <c r="G20" s="33">
        <f t="shared" si="2"/>
        <v>444.18473895582332</v>
      </c>
      <c r="H20" s="34">
        <v>46240</v>
      </c>
      <c r="I20" s="46">
        <v>221204</v>
      </c>
      <c r="J20" s="37">
        <v>45875</v>
      </c>
      <c r="K20" s="37">
        <v>45967</v>
      </c>
      <c r="L20" s="37">
        <v>46059</v>
      </c>
      <c r="M20" s="37">
        <v>46148</v>
      </c>
      <c r="N20" s="6">
        <v>2020</v>
      </c>
      <c r="O20" s="19" t="s">
        <v>220</v>
      </c>
      <c r="P20" s="19" t="s">
        <v>221</v>
      </c>
      <c r="Q20" s="19" t="s">
        <v>84</v>
      </c>
      <c r="R20" s="19" t="s">
        <v>222</v>
      </c>
    </row>
    <row r="21" spans="1:18">
      <c r="A21" s="6">
        <v>20</v>
      </c>
      <c r="B21" s="29" t="s">
        <v>223</v>
      </c>
      <c r="C21" s="19" t="s">
        <v>95</v>
      </c>
      <c r="D21" s="37">
        <v>46653</v>
      </c>
      <c r="E21" s="31">
        <v>55800000</v>
      </c>
      <c r="F21" s="38" t="s">
        <v>224</v>
      </c>
      <c r="G21" s="33">
        <f>(I21*100000)/E21</f>
        <v>682.60035842293905</v>
      </c>
      <c r="H21" s="34">
        <v>45551</v>
      </c>
      <c r="I21" s="46">
        <v>380891</v>
      </c>
      <c r="J21" s="37">
        <v>45933</v>
      </c>
      <c r="K21" s="37">
        <v>46024</v>
      </c>
      <c r="L21" s="37">
        <v>46114</v>
      </c>
      <c r="M21" s="37">
        <v>46205</v>
      </c>
      <c r="N21" s="6">
        <v>2022</v>
      </c>
      <c r="O21" s="19" t="s">
        <v>383</v>
      </c>
      <c r="P21" s="19" t="s">
        <v>221</v>
      </c>
      <c r="Q21" s="19" t="s">
        <v>84</v>
      </c>
      <c r="R21" s="19" t="s">
        <v>225</v>
      </c>
    </row>
    <row r="22" spans="1:18">
      <c r="A22" s="6">
        <v>21</v>
      </c>
      <c r="B22" s="29" t="s">
        <v>27</v>
      </c>
      <c r="C22" s="19" t="s">
        <v>48</v>
      </c>
      <c r="D22" s="37">
        <v>46274</v>
      </c>
      <c r="E22" s="31">
        <v>9250000</v>
      </c>
      <c r="F22" s="38"/>
      <c r="G22" s="33">
        <f>(I22*100000)/E22</f>
        <v>482</v>
      </c>
      <c r="H22" s="34">
        <v>46314</v>
      </c>
      <c r="I22" s="46">
        <v>44585</v>
      </c>
      <c r="J22" s="37">
        <v>45920</v>
      </c>
      <c r="K22" s="37">
        <v>46011</v>
      </c>
      <c r="L22" s="37">
        <v>46101</v>
      </c>
      <c r="M22" s="37">
        <v>46193</v>
      </c>
      <c r="N22" s="6">
        <v>2008</v>
      </c>
      <c r="O22" s="19" t="s">
        <v>220</v>
      </c>
      <c r="P22" s="19" t="s">
        <v>228</v>
      </c>
      <c r="Q22" s="19" t="s">
        <v>19</v>
      </c>
      <c r="R22" s="19" t="s">
        <v>225</v>
      </c>
    </row>
    <row r="23" spans="1:18">
      <c r="A23" s="6">
        <v>22</v>
      </c>
      <c r="B23" s="29" t="s">
        <v>223</v>
      </c>
      <c r="C23" s="39" t="s">
        <v>53</v>
      </c>
      <c r="D23" s="40">
        <v>46660</v>
      </c>
      <c r="E23" s="32">
        <v>12500000</v>
      </c>
      <c r="F23" s="38"/>
      <c r="G23" s="38">
        <f>(I23*100000)/E23</f>
        <v>778.8</v>
      </c>
      <c r="H23" s="41">
        <v>46302</v>
      </c>
      <c r="I23" s="49">
        <v>97350</v>
      </c>
      <c r="J23" s="40">
        <v>45938</v>
      </c>
      <c r="K23" s="40">
        <v>46030</v>
      </c>
      <c r="L23" s="40">
        <v>46120</v>
      </c>
      <c r="M23" s="40">
        <v>46211</v>
      </c>
      <c r="N23" s="29">
        <v>1999</v>
      </c>
      <c r="O23" s="39" t="s">
        <v>220</v>
      </c>
      <c r="P23" s="39" t="s">
        <v>228</v>
      </c>
      <c r="Q23" s="39" t="s">
        <v>19</v>
      </c>
      <c r="R23" s="39" t="s">
        <v>225</v>
      </c>
    </row>
    <row r="24" spans="1:18">
      <c r="A24" s="6">
        <v>23</v>
      </c>
      <c r="B24" s="29" t="s">
        <v>223</v>
      </c>
      <c r="C24" s="19" t="s">
        <v>132</v>
      </c>
      <c r="D24" s="37">
        <v>46285</v>
      </c>
      <c r="E24" s="31">
        <v>56700000</v>
      </c>
      <c r="F24" s="38"/>
      <c r="G24" s="33">
        <f>(I24*100000)/E24</f>
        <v>423.0088183421517</v>
      </c>
      <c r="H24" s="34">
        <v>46316</v>
      </c>
      <c r="I24" s="46">
        <v>239846</v>
      </c>
      <c r="J24" s="37">
        <v>45952</v>
      </c>
      <c r="K24" s="37">
        <v>46044</v>
      </c>
      <c r="L24" s="37">
        <v>46134</v>
      </c>
      <c r="M24" s="37">
        <v>46225</v>
      </c>
      <c r="N24" s="6">
        <v>2023</v>
      </c>
      <c r="O24" s="39" t="s">
        <v>220</v>
      </c>
      <c r="P24" s="39" t="s">
        <v>228</v>
      </c>
      <c r="Q24" s="19" t="s">
        <v>61</v>
      </c>
      <c r="R24" s="39" t="s">
        <v>225</v>
      </c>
    </row>
    <row r="25" spans="1:18">
      <c r="A25" s="6">
        <v>24</v>
      </c>
      <c r="B25" s="29" t="s">
        <v>32</v>
      </c>
      <c r="C25" s="19" t="s">
        <v>68</v>
      </c>
      <c r="D25" s="30">
        <v>46337</v>
      </c>
      <c r="E25" s="31">
        <v>45000000</v>
      </c>
      <c r="F25" s="32"/>
      <c r="G25" s="33">
        <f t="shared" ref="G25:G29" si="3">(I25*100000)/E25</f>
        <v>394.91777777777776</v>
      </c>
      <c r="H25" s="34">
        <v>46343</v>
      </c>
      <c r="I25" s="46">
        <v>177713</v>
      </c>
      <c r="J25" s="37">
        <v>45979</v>
      </c>
      <c r="K25" s="37">
        <v>46071</v>
      </c>
      <c r="L25" s="37">
        <v>46160</v>
      </c>
      <c r="M25" s="37">
        <v>46252</v>
      </c>
      <c r="N25" s="6">
        <v>2006</v>
      </c>
      <c r="O25" s="19" t="s">
        <v>220</v>
      </c>
      <c r="P25" s="19" t="s">
        <v>228</v>
      </c>
      <c r="Q25" s="19" t="s">
        <v>71</v>
      </c>
      <c r="R25" s="19" t="s">
        <v>222</v>
      </c>
    </row>
    <row r="26" spans="1:18">
      <c r="A26" s="6">
        <v>25</v>
      </c>
      <c r="B26" s="29" t="s">
        <v>223</v>
      </c>
      <c r="C26" s="19" t="s">
        <v>101</v>
      </c>
      <c r="D26" s="30">
        <v>46358</v>
      </c>
      <c r="E26" s="31">
        <v>60000000</v>
      </c>
      <c r="F26" s="32"/>
      <c r="G26" s="33">
        <f t="shared" si="3"/>
        <v>423</v>
      </c>
      <c r="H26" s="34">
        <v>46358</v>
      </c>
      <c r="I26" s="46">
        <v>253800</v>
      </c>
      <c r="J26" s="37">
        <v>45994</v>
      </c>
      <c r="K26" s="37">
        <v>46084</v>
      </c>
      <c r="L26" s="37">
        <v>46176</v>
      </c>
      <c r="M26" s="37">
        <v>46268</v>
      </c>
      <c r="N26" s="6">
        <v>2022</v>
      </c>
      <c r="O26" s="19" t="s">
        <v>220</v>
      </c>
      <c r="P26" s="19" t="s">
        <v>228</v>
      </c>
      <c r="Q26" s="19" t="s">
        <v>241</v>
      </c>
      <c r="R26" s="19" t="s">
        <v>225</v>
      </c>
    </row>
    <row r="27" spans="1:18">
      <c r="A27" s="6">
        <v>26</v>
      </c>
      <c r="B27" s="6" t="s">
        <v>223</v>
      </c>
      <c r="C27" s="105" t="s">
        <v>91</v>
      </c>
      <c r="D27" s="30">
        <v>46356</v>
      </c>
      <c r="E27" s="31">
        <v>34800000</v>
      </c>
      <c r="F27" s="31"/>
      <c r="G27" s="33">
        <f t="shared" si="3"/>
        <v>536.27586206896547</v>
      </c>
      <c r="H27" s="34">
        <v>46358</v>
      </c>
      <c r="I27" s="46">
        <v>186624</v>
      </c>
      <c r="J27" s="37">
        <v>45994</v>
      </c>
      <c r="K27" s="37">
        <v>46084</v>
      </c>
      <c r="L27" s="37">
        <v>46176</v>
      </c>
      <c r="M27" s="37">
        <v>46268</v>
      </c>
      <c r="N27" s="6">
        <v>2020</v>
      </c>
      <c r="O27" s="19" t="s">
        <v>220</v>
      </c>
      <c r="P27" s="19" t="s">
        <v>242</v>
      </c>
      <c r="Q27" s="19" t="s">
        <v>84</v>
      </c>
      <c r="R27" s="19" t="s">
        <v>225</v>
      </c>
    </row>
    <row r="28" spans="1:18">
      <c r="A28" s="6">
        <v>27</v>
      </c>
      <c r="B28" s="29" t="s">
        <v>223</v>
      </c>
      <c r="C28" s="105" t="s">
        <v>103</v>
      </c>
      <c r="D28" s="37">
        <v>46722</v>
      </c>
      <c r="E28" s="31">
        <v>52000000</v>
      </c>
      <c r="F28" s="42"/>
      <c r="G28" s="33">
        <f t="shared" si="3"/>
        <v>470.48653846153849</v>
      </c>
      <c r="H28" s="34">
        <v>46358</v>
      </c>
      <c r="I28" s="50">
        <v>244653</v>
      </c>
      <c r="J28" s="37">
        <v>45994</v>
      </c>
      <c r="K28" s="37">
        <v>46084</v>
      </c>
      <c r="L28" s="37">
        <v>46176</v>
      </c>
      <c r="M28" s="37">
        <v>46268</v>
      </c>
      <c r="N28" s="6">
        <v>2021</v>
      </c>
      <c r="O28" s="19" t="s">
        <v>220</v>
      </c>
      <c r="P28" s="19" t="s">
        <v>228</v>
      </c>
      <c r="Q28" s="19" t="s">
        <v>19</v>
      </c>
      <c r="R28" s="19" t="s">
        <v>225</v>
      </c>
    </row>
    <row r="29" spans="1:18">
      <c r="A29" s="6">
        <v>28</v>
      </c>
      <c r="B29" s="29" t="s">
        <v>32</v>
      </c>
      <c r="C29" s="19" t="s">
        <v>76</v>
      </c>
      <c r="D29" s="30">
        <v>46751</v>
      </c>
      <c r="E29" s="31">
        <v>42500000</v>
      </c>
      <c r="F29" s="32"/>
      <c r="G29" s="33">
        <f t="shared" si="3"/>
        <v>457.34117647058821</v>
      </c>
      <c r="H29" s="34">
        <v>46393</v>
      </c>
      <c r="I29" s="46">
        <v>194370</v>
      </c>
      <c r="J29" s="37">
        <v>46029</v>
      </c>
      <c r="K29" s="37">
        <v>46119</v>
      </c>
      <c r="L29" s="37">
        <v>46210</v>
      </c>
      <c r="M29" s="37">
        <v>46302</v>
      </c>
      <c r="N29" s="6">
        <v>2008</v>
      </c>
      <c r="O29" s="19" t="s">
        <v>220</v>
      </c>
      <c r="P29" s="19" t="s">
        <v>228</v>
      </c>
      <c r="Q29" s="19" t="s">
        <v>35</v>
      </c>
      <c r="R29" s="19" t="s">
        <v>225</v>
      </c>
    </row>
    <row r="30" spans="1:18">
      <c r="A30" s="6">
        <v>29</v>
      </c>
      <c r="B30" s="29" t="s">
        <v>223</v>
      </c>
      <c r="C30" s="19" t="s">
        <v>240</v>
      </c>
      <c r="D30" s="37">
        <v>46757</v>
      </c>
      <c r="E30" s="31">
        <v>44000000</v>
      </c>
      <c r="F30" s="38"/>
      <c r="G30" s="33">
        <f t="shared" ref="G30:G36" si="4">(I30*100000)/E30</f>
        <v>470.2</v>
      </c>
      <c r="H30" s="34">
        <v>46393</v>
      </c>
      <c r="I30" s="46">
        <v>206888</v>
      </c>
      <c r="J30" s="37">
        <v>46029</v>
      </c>
      <c r="K30" s="37">
        <v>46119</v>
      </c>
      <c r="L30" s="37">
        <v>46210</v>
      </c>
      <c r="M30" s="37">
        <v>46302</v>
      </c>
      <c r="N30" s="6">
        <v>2019</v>
      </c>
      <c r="O30" s="19" t="s">
        <v>220</v>
      </c>
      <c r="P30" s="19" t="s">
        <v>228</v>
      </c>
      <c r="Q30" s="108" t="s">
        <v>182</v>
      </c>
      <c r="R30" s="108" t="s">
        <v>225</v>
      </c>
    </row>
    <row r="31" spans="1:18">
      <c r="A31" s="6">
        <v>30</v>
      </c>
      <c r="B31" s="29" t="s">
        <v>223</v>
      </c>
      <c r="C31" s="19" t="s">
        <v>382</v>
      </c>
      <c r="D31" s="37">
        <v>46761</v>
      </c>
      <c r="E31" s="31">
        <v>40250000</v>
      </c>
      <c r="F31" s="38"/>
      <c r="G31" s="33">
        <f t="shared" si="4"/>
        <v>376.0496894409938</v>
      </c>
      <c r="H31" s="34">
        <v>46395</v>
      </c>
      <c r="I31" s="46">
        <v>151360</v>
      </c>
      <c r="J31" s="106">
        <v>46031</v>
      </c>
      <c r="K31" s="106">
        <v>46121</v>
      </c>
      <c r="L31" s="106">
        <v>46212</v>
      </c>
      <c r="M31" s="106">
        <v>46304</v>
      </c>
      <c r="N31" s="26">
        <v>2017</v>
      </c>
      <c r="O31" s="19" t="s">
        <v>220</v>
      </c>
      <c r="P31" s="107" t="s">
        <v>221</v>
      </c>
      <c r="Q31" s="108" t="s">
        <v>182</v>
      </c>
      <c r="R31" s="108" t="s">
        <v>225</v>
      </c>
    </row>
    <row r="32" spans="1:18">
      <c r="A32" s="6">
        <v>31</v>
      </c>
      <c r="B32" s="29" t="s">
        <v>223</v>
      </c>
      <c r="C32" s="19" t="s">
        <v>112</v>
      </c>
      <c r="D32" s="37">
        <v>46087</v>
      </c>
      <c r="E32" s="31">
        <v>56175000</v>
      </c>
      <c r="F32" s="38"/>
      <c r="G32" s="33">
        <f t="shared" si="4"/>
        <v>399.40364931019138</v>
      </c>
      <c r="H32" s="34">
        <v>46458</v>
      </c>
      <c r="I32" s="46">
        <v>224365</v>
      </c>
      <c r="J32" s="37">
        <v>46094</v>
      </c>
      <c r="K32" s="37">
        <v>46186</v>
      </c>
      <c r="L32" s="37">
        <v>46278</v>
      </c>
      <c r="M32" s="37">
        <v>46369</v>
      </c>
      <c r="N32" s="6">
        <v>2024</v>
      </c>
      <c r="O32" s="19" t="s">
        <v>220</v>
      </c>
      <c r="P32" s="19" t="s">
        <v>228</v>
      </c>
      <c r="Q32" s="19" t="s">
        <v>84</v>
      </c>
      <c r="R32" s="19" t="s">
        <v>225</v>
      </c>
    </row>
    <row r="33" spans="1:18">
      <c r="A33" s="6">
        <v>32</v>
      </c>
      <c r="B33" s="29" t="s">
        <v>223</v>
      </c>
      <c r="C33" s="19" t="s">
        <v>106</v>
      </c>
      <c r="D33" s="37">
        <v>46100</v>
      </c>
      <c r="E33" s="31">
        <v>56175000</v>
      </c>
      <c r="F33" s="38"/>
      <c r="G33" s="33">
        <f t="shared" si="4"/>
        <v>481.95282599020919</v>
      </c>
      <c r="H33" s="34">
        <v>46465</v>
      </c>
      <c r="I33" s="46">
        <v>270737</v>
      </c>
      <c r="J33" s="37">
        <v>46101</v>
      </c>
      <c r="K33" s="37">
        <v>46193</v>
      </c>
      <c r="L33" s="37">
        <v>46285</v>
      </c>
      <c r="M33" s="37">
        <v>46376</v>
      </c>
      <c r="N33" s="6">
        <v>2023</v>
      </c>
      <c r="O33" s="19" t="s">
        <v>220</v>
      </c>
      <c r="P33" s="19" t="s">
        <v>228</v>
      </c>
      <c r="Q33" s="19" t="s">
        <v>109</v>
      </c>
      <c r="R33" s="19" t="s">
        <v>222</v>
      </c>
    </row>
    <row r="34" spans="1:18">
      <c r="A34" s="6">
        <v>33</v>
      </c>
      <c r="B34" s="29" t="s">
        <v>223</v>
      </c>
      <c r="C34" s="19" t="s">
        <v>50</v>
      </c>
      <c r="D34" s="37"/>
      <c r="E34" s="31">
        <v>7000000</v>
      </c>
      <c r="F34" s="38"/>
      <c r="G34" s="33">
        <f t="shared" si="4"/>
        <v>600</v>
      </c>
      <c r="H34" s="34">
        <v>46472</v>
      </c>
      <c r="I34" s="46">
        <v>42000</v>
      </c>
      <c r="J34" s="51" t="s">
        <v>227</v>
      </c>
      <c r="K34" s="37"/>
      <c r="L34" s="37"/>
      <c r="M34" s="37"/>
      <c r="N34" s="6">
        <v>1996</v>
      </c>
      <c r="O34" s="19" t="s">
        <v>220</v>
      </c>
      <c r="P34" s="19" t="s">
        <v>228</v>
      </c>
      <c r="Q34" s="19" t="s">
        <v>19</v>
      </c>
      <c r="R34" s="19" t="s">
        <v>225</v>
      </c>
    </row>
    <row r="35" spans="1:18">
      <c r="A35" s="6">
        <v>34</v>
      </c>
      <c r="B35" s="29" t="s">
        <v>223</v>
      </c>
      <c r="C35" s="19" t="s">
        <v>243</v>
      </c>
      <c r="D35" s="37">
        <v>46099</v>
      </c>
      <c r="E35" s="31">
        <v>70875000</v>
      </c>
      <c r="F35" s="38"/>
      <c r="G35" s="33">
        <f t="shared" si="4"/>
        <v>556.96225749559085</v>
      </c>
      <c r="H35" s="34">
        <v>46476</v>
      </c>
      <c r="I35" s="46">
        <v>394747</v>
      </c>
      <c r="J35" s="37">
        <v>46112</v>
      </c>
      <c r="K35" s="37">
        <v>46203</v>
      </c>
      <c r="L35" s="37">
        <v>46295</v>
      </c>
      <c r="M35" s="37">
        <v>46386</v>
      </c>
      <c r="N35" s="6">
        <v>2022</v>
      </c>
      <c r="O35" s="38" t="s">
        <v>220</v>
      </c>
      <c r="P35" s="19" t="s">
        <v>221</v>
      </c>
      <c r="Q35" s="38" t="s">
        <v>61</v>
      </c>
      <c r="R35" s="38" t="s">
        <v>222</v>
      </c>
    </row>
    <row r="36" spans="1:18">
      <c r="A36" s="6">
        <v>35</v>
      </c>
      <c r="B36" s="29" t="s">
        <v>223</v>
      </c>
      <c r="C36" s="19" t="s">
        <v>244</v>
      </c>
      <c r="D36" s="37">
        <v>46099</v>
      </c>
      <c r="E36" s="31">
        <v>61005000</v>
      </c>
      <c r="F36" s="38"/>
      <c r="G36" s="33">
        <f t="shared" si="4"/>
        <v>404.69797557577249</v>
      </c>
      <c r="H36" s="34">
        <v>46476</v>
      </c>
      <c r="I36" s="46">
        <v>246886</v>
      </c>
      <c r="J36" s="37">
        <v>46112</v>
      </c>
      <c r="K36" s="37">
        <v>46204</v>
      </c>
      <c r="L36" s="37">
        <v>46296</v>
      </c>
      <c r="M36" s="37">
        <v>46388</v>
      </c>
      <c r="N36" s="6">
        <v>2022</v>
      </c>
      <c r="O36" s="19" t="s">
        <v>220</v>
      </c>
      <c r="P36" s="19" t="s">
        <v>228</v>
      </c>
      <c r="Q36" s="19" t="s">
        <v>84</v>
      </c>
      <c r="R36" s="19" t="s">
        <v>225</v>
      </c>
    </row>
    <row r="37" spans="1:18">
      <c r="A37" s="22"/>
      <c r="B37" s="25"/>
      <c r="C37" s="43"/>
      <c r="D37" s="43"/>
      <c r="E37" s="44">
        <f>SUM(E2:E24)</f>
        <v>767320000</v>
      </c>
      <c r="F37" s="45">
        <f>SUM(F1:F10)</f>
        <v>20000000</v>
      </c>
      <c r="G37" s="33">
        <f t="shared" si="1"/>
        <v>501.63514570192359</v>
      </c>
      <c r="H37" s="43"/>
      <c r="I37" s="54">
        <f>SUM(I2:I24)</f>
        <v>3849146.8</v>
      </c>
      <c r="J37" s="55"/>
      <c r="M37" t="s">
        <v>245</v>
      </c>
    </row>
    <row r="38" spans="1:18">
      <c r="J38" s="55"/>
    </row>
    <row r="39" spans="1:18">
      <c r="J39" s="55"/>
    </row>
    <row r="41" spans="1:18">
      <c r="K41" t="s">
        <v>246</v>
      </c>
    </row>
    <row r="50" ht="96" customHeight="1"/>
  </sheetData>
  <sortState xmlns:xlrd2="http://schemas.microsoft.com/office/spreadsheetml/2017/richdata2" ref="A3:R31">
    <sortCondition ref="A2:A31"/>
  </sortState>
  <pageMargins left="0.7" right="0.7" top="0.75" bottom="0.75" header="0.3" footer="0.3"/>
  <pageSetup paperSize="9" scale="5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0E34-A1B0-4FA8-983F-E259DD611713}">
  <dimension ref="A1:M25"/>
  <sheetViews>
    <sheetView workbookViewId="0">
      <selection activeCell="A10" sqref="A10:A19"/>
    </sheetView>
  </sheetViews>
  <sheetFormatPr defaultRowHeight="15"/>
  <cols>
    <col min="1" max="1" width="3.85546875" bestFit="1" customWidth="1"/>
    <col min="2" max="2" width="10.28515625" bestFit="1" customWidth="1"/>
    <col min="3" max="3" width="24.42578125" bestFit="1" customWidth="1"/>
    <col min="4" max="4" width="10.42578125" bestFit="1" customWidth="1"/>
    <col min="5" max="5" width="11.5703125" bestFit="1" customWidth="1"/>
    <col min="6" max="6" width="7.42578125" bestFit="1" customWidth="1"/>
    <col min="7" max="7" width="10" customWidth="1"/>
    <col min="8" max="8" width="11.7109375" customWidth="1"/>
    <col min="9" max="9" width="11.5703125" bestFit="1" customWidth="1"/>
    <col min="10" max="10" width="9.85546875" bestFit="1" customWidth="1"/>
    <col min="11" max="11" width="26.42578125" bestFit="1" customWidth="1"/>
    <col min="12" max="12" width="11.140625" customWidth="1"/>
    <col min="13" max="13" width="11.7109375" bestFit="1" customWidth="1"/>
  </cols>
  <sheetData>
    <row r="1" spans="1:13" ht="45">
      <c r="A1" s="22" t="s">
        <v>1</v>
      </c>
      <c r="B1" s="25"/>
      <c r="C1" s="26" t="s">
        <v>162</v>
      </c>
      <c r="D1" s="26" t="s">
        <v>205</v>
      </c>
      <c r="E1" s="27" t="s">
        <v>206</v>
      </c>
      <c r="F1" s="28" t="s">
        <v>207</v>
      </c>
      <c r="G1" s="27" t="s">
        <v>208</v>
      </c>
      <c r="H1" s="26" t="s">
        <v>209</v>
      </c>
      <c r="I1" s="26" t="s">
        <v>210</v>
      </c>
      <c r="J1" s="26" t="s">
        <v>214</v>
      </c>
      <c r="K1" s="26" t="s">
        <v>216</v>
      </c>
      <c r="L1" s="26" t="s">
        <v>217</v>
      </c>
      <c r="M1" s="26" t="s">
        <v>218</v>
      </c>
    </row>
    <row r="2" spans="1:13">
      <c r="A2" s="6">
        <v>1</v>
      </c>
      <c r="B2" s="29" t="s">
        <v>223</v>
      </c>
      <c r="C2" s="19" t="s">
        <v>230</v>
      </c>
      <c r="D2" s="37">
        <v>45857</v>
      </c>
      <c r="E2" s="31">
        <v>25000000</v>
      </c>
      <c r="F2" s="38" t="s">
        <v>224</v>
      </c>
      <c r="G2" s="33">
        <v>458.4</v>
      </c>
      <c r="H2" s="34">
        <v>45688</v>
      </c>
      <c r="I2" s="46">
        <v>114600</v>
      </c>
      <c r="J2" s="6">
        <v>2019</v>
      </c>
      <c r="K2" s="19" t="s">
        <v>228</v>
      </c>
      <c r="L2" s="19" t="s">
        <v>61</v>
      </c>
      <c r="M2" s="37" t="s">
        <v>231</v>
      </c>
    </row>
    <row r="3" spans="1:13">
      <c r="A3" s="6">
        <v>2</v>
      </c>
      <c r="B3" s="29" t="s">
        <v>223</v>
      </c>
      <c r="C3" s="19" t="s">
        <v>93</v>
      </c>
      <c r="D3" s="37">
        <v>46038</v>
      </c>
      <c r="E3" s="31">
        <v>42500000</v>
      </c>
      <c r="F3" s="32"/>
      <c r="G3" s="33">
        <v>404.7105882352941</v>
      </c>
      <c r="H3" s="34">
        <v>46047</v>
      </c>
      <c r="I3" s="46">
        <v>172002</v>
      </c>
      <c r="J3" s="6">
        <v>2019</v>
      </c>
      <c r="K3" s="19" t="s">
        <v>228</v>
      </c>
      <c r="L3" s="19" t="s">
        <v>67</v>
      </c>
      <c r="M3" s="19" t="s">
        <v>225</v>
      </c>
    </row>
    <row r="4" spans="1:13">
      <c r="A4" s="6">
        <v>3</v>
      </c>
      <c r="B4" s="29" t="s">
        <v>223</v>
      </c>
      <c r="C4" s="19" t="s">
        <v>112</v>
      </c>
      <c r="D4" s="37">
        <v>46087</v>
      </c>
      <c r="E4" s="31">
        <v>56175000</v>
      </c>
      <c r="F4" s="38"/>
      <c r="G4" s="33">
        <v>399.40364931019138</v>
      </c>
      <c r="H4" s="34">
        <v>46093</v>
      </c>
      <c r="I4" s="46">
        <v>224365</v>
      </c>
      <c r="J4" s="6">
        <v>2024</v>
      </c>
      <c r="K4" s="19" t="s">
        <v>228</v>
      </c>
      <c r="L4" s="19" t="s">
        <v>84</v>
      </c>
      <c r="M4" s="19" t="s">
        <v>225</v>
      </c>
    </row>
    <row r="5" spans="1:13">
      <c r="A5" s="6">
        <v>4</v>
      </c>
      <c r="B5" s="29" t="s">
        <v>223</v>
      </c>
      <c r="C5" s="19" t="s">
        <v>106</v>
      </c>
      <c r="D5" s="37">
        <v>46100</v>
      </c>
      <c r="E5" s="31">
        <v>56175000</v>
      </c>
      <c r="F5" s="38"/>
      <c r="G5" s="33">
        <v>481.95282599020919</v>
      </c>
      <c r="H5" s="34">
        <v>46100</v>
      </c>
      <c r="I5" s="46">
        <v>270737</v>
      </c>
      <c r="J5" s="6">
        <v>2023</v>
      </c>
      <c r="K5" s="19" t="s">
        <v>228</v>
      </c>
      <c r="L5" s="19" t="s">
        <v>109</v>
      </c>
      <c r="M5" s="19" t="s">
        <v>222</v>
      </c>
    </row>
    <row r="6" spans="1:13">
      <c r="A6" s="6">
        <v>5</v>
      </c>
      <c r="B6" s="29" t="s">
        <v>223</v>
      </c>
      <c r="C6" s="19" t="s">
        <v>50</v>
      </c>
      <c r="D6" s="37"/>
      <c r="E6" s="31">
        <v>7000000</v>
      </c>
      <c r="F6" s="38"/>
      <c r="G6" s="33">
        <v>600</v>
      </c>
      <c r="H6" s="34">
        <v>46107</v>
      </c>
      <c r="I6" s="46">
        <v>42000</v>
      </c>
      <c r="J6" s="6">
        <v>1996</v>
      </c>
      <c r="K6" s="19" t="s">
        <v>228</v>
      </c>
      <c r="L6" s="19" t="s">
        <v>19</v>
      </c>
      <c r="M6" s="19" t="s">
        <v>225</v>
      </c>
    </row>
    <row r="7" spans="1:13">
      <c r="A7" s="6">
        <v>6</v>
      </c>
      <c r="B7" s="29" t="s">
        <v>223</v>
      </c>
      <c r="C7" s="19" t="s">
        <v>243</v>
      </c>
      <c r="D7" s="37">
        <v>46099</v>
      </c>
      <c r="E7" s="31">
        <v>70875000</v>
      </c>
      <c r="F7" s="38"/>
      <c r="G7" s="33">
        <v>556.96225749559085</v>
      </c>
      <c r="H7" s="34">
        <v>46111</v>
      </c>
      <c r="I7" s="46">
        <v>394747</v>
      </c>
      <c r="J7" s="6">
        <v>2022</v>
      </c>
      <c r="K7" s="19" t="s">
        <v>221</v>
      </c>
      <c r="L7" s="38" t="s">
        <v>61</v>
      </c>
      <c r="M7" s="38" t="s">
        <v>222</v>
      </c>
    </row>
    <row r="8" spans="1:13">
      <c r="A8" s="6">
        <v>7</v>
      </c>
      <c r="B8" s="29" t="s">
        <v>223</v>
      </c>
      <c r="C8" s="19" t="s">
        <v>244</v>
      </c>
      <c r="D8" s="37">
        <v>46099</v>
      </c>
      <c r="E8" s="31">
        <v>61005000</v>
      </c>
      <c r="F8" s="38"/>
      <c r="G8" s="33">
        <v>404.69797557577249</v>
      </c>
      <c r="H8" s="34">
        <v>46111</v>
      </c>
      <c r="I8" s="46">
        <v>246886</v>
      </c>
      <c r="J8" s="6">
        <v>2022</v>
      </c>
      <c r="K8" s="19" t="s">
        <v>228</v>
      </c>
      <c r="L8" s="19" t="s">
        <v>84</v>
      </c>
      <c r="M8" s="19" t="s">
        <v>225</v>
      </c>
    </row>
    <row r="9" spans="1:13">
      <c r="A9" s="6">
        <v>8</v>
      </c>
      <c r="B9" s="29" t="s">
        <v>223</v>
      </c>
      <c r="C9" s="19" t="s">
        <v>235</v>
      </c>
      <c r="D9" s="37">
        <v>46153</v>
      </c>
      <c r="E9" s="31">
        <v>61100000</v>
      </c>
      <c r="F9" s="38"/>
      <c r="G9" s="33">
        <v>490.26022913256958</v>
      </c>
      <c r="H9" s="34">
        <v>46157</v>
      </c>
      <c r="I9" s="46">
        <v>299549</v>
      </c>
      <c r="J9" s="6">
        <v>2022</v>
      </c>
      <c r="K9" s="19" t="s">
        <v>236</v>
      </c>
      <c r="L9" s="19" t="s">
        <v>84</v>
      </c>
      <c r="M9" s="19" t="s">
        <v>225</v>
      </c>
    </row>
    <row r="10" spans="1:13">
      <c r="A10" s="6">
        <v>9</v>
      </c>
      <c r="B10" s="29" t="s">
        <v>223</v>
      </c>
      <c r="C10" s="19" t="s">
        <v>58</v>
      </c>
      <c r="D10" s="30">
        <v>46523</v>
      </c>
      <c r="E10" s="31">
        <v>40250000</v>
      </c>
      <c r="F10" s="32"/>
      <c r="G10" s="33">
        <v>417.86335403726707</v>
      </c>
      <c r="H10" s="34">
        <v>46170</v>
      </c>
      <c r="I10" s="46">
        <v>168190</v>
      </c>
      <c r="J10" s="6">
        <v>2018</v>
      </c>
      <c r="K10" s="19" t="s">
        <v>221</v>
      </c>
      <c r="L10" s="19" t="s">
        <v>19</v>
      </c>
      <c r="M10" s="19" t="s">
        <v>225</v>
      </c>
    </row>
    <row r="11" spans="1:13">
      <c r="A11" s="6">
        <v>10</v>
      </c>
      <c r="B11" s="29" t="s">
        <v>223</v>
      </c>
      <c r="C11" s="19" t="s">
        <v>238</v>
      </c>
      <c r="D11" s="37">
        <v>46228</v>
      </c>
      <c r="E11" s="31">
        <v>45570000</v>
      </c>
      <c r="F11" s="38"/>
      <c r="G11" s="33">
        <f t="shared" ref="G11" si="0">(I11*100000)/E11</f>
        <v>470.49594031160854</v>
      </c>
      <c r="H11" s="34">
        <v>46237</v>
      </c>
      <c r="I11" s="46">
        <v>214405</v>
      </c>
      <c r="J11" s="6">
        <v>2020</v>
      </c>
      <c r="K11" s="19" t="s">
        <v>228</v>
      </c>
      <c r="L11" s="19" t="s">
        <v>109</v>
      </c>
      <c r="M11" s="37" t="s">
        <v>222</v>
      </c>
    </row>
    <row r="12" spans="1:13">
      <c r="A12" s="6">
        <v>11</v>
      </c>
      <c r="B12" s="29" t="s">
        <v>223</v>
      </c>
      <c r="C12" s="19" t="s">
        <v>97</v>
      </c>
      <c r="D12" s="37">
        <v>46535</v>
      </c>
      <c r="E12" s="31">
        <v>64675000</v>
      </c>
      <c r="F12" s="38"/>
      <c r="G12" s="33">
        <v>411.20061847700038</v>
      </c>
      <c r="H12" s="34">
        <v>46171</v>
      </c>
      <c r="I12" s="46">
        <v>265944</v>
      </c>
      <c r="J12" s="6">
        <v>2022</v>
      </c>
      <c r="K12" s="19" t="s">
        <v>228</v>
      </c>
      <c r="L12" s="19" t="s">
        <v>61</v>
      </c>
      <c r="M12" s="19" t="s">
        <v>225</v>
      </c>
    </row>
    <row r="13" spans="1:13">
      <c r="A13" s="6">
        <v>12</v>
      </c>
      <c r="B13" s="29" t="s">
        <v>223</v>
      </c>
      <c r="C13" s="19" t="s">
        <v>95</v>
      </c>
      <c r="D13" s="37">
        <v>46653</v>
      </c>
      <c r="E13" s="31">
        <v>55800000</v>
      </c>
      <c r="F13" s="38" t="s">
        <v>224</v>
      </c>
      <c r="G13" s="33">
        <v>682.60035842293905</v>
      </c>
      <c r="H13" s="34">
        <v>45551</v>
      </c>
      <c r="I13" s="46">
        <v>380891</v>
      </c>
      <c r="J13" s="6">
        <v>2022</v>
      </c>
      <c r="K13" s="19" t="s">
        <v>221</v>
      </c>
      <c r="L13" s="19" t="s">
        <v>84</v>
      </c>
      <c r="M13" s="19" t="s">
        <v>225</v>
      </c>
    </row>
    <row r="14" spans="1:13">
      <c r="A14" s="6">
        <v>13</v>
      </c>
      <c r="B14" s="29" t="s">
        <v>223</v>
      </c>
      <c r="C14" s="39" t="s">
        <v>53</v>
      </c>
      <c r="D14" s="40">
        <v>46660</v>
      </c>
      <c r="E14" s="32">
        <v>12500000</v>
      </c>
      <c r="F14" s="38"/>
      <c r="G14" s="38">
        <v>778.8</v>
      </c>
      <c r="H14" s="41">
        <v>46302</v>
      </c>
      <c r="I14" s="49">
        <v>97350</v>
      </c>
      <c r="J14" s="29">
        <v>1999</v>
      </c>
      <c r="K14" s="39" t="s">
        <v>228</v>
      </c>
      <c r="L14" s="39" t="s">
        <v>19</v>
      </c>
      <c r="M14" s="39" t="s">
        <v>225</v>
      </c>
    </row>
    <row r="15" spans="1:13">
      <c r="A15" s="6">
        <v>14</v>
      </c>
      <c r="B15" s="29" t="s">
        <v>223</v>
      </c>
      <c r="C15" s="19" t="s">
        <v>132</v>
      </c>
      <c r="D15" s="37">
        <v>46285</v>
      </c>
      <c r="E15" s="31">
        <v>56700000</v>
      </c>
      <c r="F15" s="38"/>
      <c r="G15" s="33">
        <v>423.0088183421517</v>
      </c>
      <c r="H15" s="34">
        <v>46316</v>
      </c>
      <c r="I15" s="46">
        <v>239846</v>
      </c>
      <c r="J15" s="6">
        <v>2023</v>
      </c>
      <c r="K15" s="39" t="s">
        <v>228</v>
      </c>
      <c r="L15" s="19" t="s">
        <v>61</v>
      </c>
      <c r="M15" s="39" t="s">
        <v>225</v>
      </c>
    </row>
    <row r="16" spans="1:13">
      <c r="A16" s="6">
        <v>15</v>
      </c>
      <c r="B16" s="6" t="s">
        <v>223</v>
      </c>
      <c r="C16" s="105" t="s">
        <v>91</v>
      </c>
      <c r="D16" s="30">
        <v>46356</v>
      </c>
      <c r="E16" s="31">
        <v>34800000</v>
      </c>
      <c r="F16" s="31"/>
      <c r="G16" s="33">
        <v>536.27586206896547</v>
      </c>
      <c r="H16" s="34">
        <v>46358</v>
      </c>
      <c r="I16" s="46">
        <v>186624</v>
      </c>
      <c r="J16" s="6">
        <v>2020</v>
      </c>
      <c r="K16" s="19" t="s">
        <v>242</v>
      </c>
      <c r="L16" s="19" t="s">
        <v>84</v>
      </c>
      <c r="M16" s="19" t="s">
        <v>225</v>
      </c>
    </row>
    <row r="17" spans="1:13">
      <c r="A17" s="6">
        <v>16</v>
      </c>
      <c r="B17" s="29" t="s">
        <v>223</v>
      </c>
      <c r="C17" s="105" t="s">
        <v>103</v>
      </c>
      <c r="D17" s="37">
        <v>46722</v>
      </c>
      <c r="E17" s="31">
        <v>52000000</v>
      </c>
      <c r="F17" s="42"/>
      <c r="G17" s="33">
        <v>470.48653846153849</v>
      </c>
      <c r="H17" s="34">
        <v>46358</v>
      </c>
      <c r="I17" s="50">
        <v>244653</v>
      </c>
      <c r="J17" s="6">
        <v>2021</v>
      </c>
      <c r="K17" s="19" t="s">
        <v>228</v>
      </c>
      <c r="L17" s="19" t="s">
        <v>19</v>
      </c>
      <c r="M17" s="19" t="s">
        <v>225</v>
      </c>
    </row>
    <row r="18" spans="1:13">
      <c r="A18" s="6">
        <v>17</v>
      </c>
      <c r="B18" s="29" t="s">
        <v>223</v>
      </c>
      <c r="C18" s="19" t="s">
        <v>240</v>
      </c>
      <c r="D18" s="37">
        <v>46757</v>
      </c>
      <c r="E18" s="31">
        <v>44000000</v>
      </c>
      <c r="F18" s="38"/>
      <c r="G18" s="33">
        <v>470.2</v>
      </c>
      <c r="H18" s="34">
        <v>46393</v>
      </c>
      <c r="I18" s="46">
        <v>206888</v>
      </c>
      <c r="J18" s="6">
        <v>2019</v>
      </c>
      <c r="K18" s="19" t="s">
        <v>228</v>
      </c>
      <c r="L18" s="108" t="s">
        <v>182</v>
      </c>
      <c r="M18" s="108" t="s">
        <v>225</v>
      </c>
    </row>
    <row r="19" spans="1:13">
      <c r="A19" s="6">
        <v>18</v>
      </c>
      <c r="B19" s="29" t="s">
        <v>223</v>
      </c>
      <c r="C19" s="19" t="s">
        <v>382</v>
      </c>
      <c r="D19" s="37">
        <v>46761</v>
      </c>
      <c r="E19" s="31">
        <v>40250000</v>
      </c>
      <c r="F19" s="38"/>
      <c r="G19" s="33">
        <v>376.0496894409938</v>
      </c>
      <c r="H19" s="34">
        <v>46395</v>
      </c>
      <c r="I19" s="46">
        <v>151360</v>
      </c>
      <c r="J19" s="26">
        <v>2017</v>
      </c>
      <c r="K19" s="107" t="s">
        <v>221</v>
      </c>
      <c r="L19" s="108" t="s">
        <v>182</v>
      </c>
      <c r="M19" s="108" t="s">
        <v>225</v>
      </c>
    </row>
    <row r="22" spans="1:13">
      <c r="A22" s="6">
        <v>14</v>
      </c>
      <c r="B22" s="29" t="s">
        <v>32</v>
      </c>
      <c r="C22" s="19" t="s">
        <v>73</v>
      </c>
      <c r="D22" s="30">
        <v>46170</v>
      </c>
      <c r="E22" s="31">
        <v>45000000</v>
      </c>
      <c r="F22" s="32"/>
      <c r="G22" s="33">
        <v>575.75111111111107</v>
      </c>
      <c r="H22" s="34">
        <v>46178</v>
      </c>
      <c r="I22" s="46">
        <v>259088</v>
      </c>
      <c r="J22" s="6" t="s">
        <v>72</v>
      </c>
      <c r="K22" s="19" t="s">
        <v>228</v>
      </c>
      <c r="L22" s="19" t="s">
        <v>35</v>
      </c>
      <c r="M22" s="19" t="s">
        <v>225</v>
      </c>
    </row>
    <row r="23" spans="1:13">
      <c r="A23" s="6">
        <v>15</v>
      </c>
      <c r="B23" s="29" t="s">
        <v>32</v>
      </c>
      <c r="C23" s="19" t="s">
        <v>79</v>
      </c>
      <c r="D23" s="30">
        <v>46170</v>
      </c>
      <c r="E23" s="31">
        <v>45000000</v>
      </c>
      <c r="F23" s="32"/>
      <c r="G23" s="33">
        <v>562.58888888888885</v>
      </c>
      <c r="H23" s="34">
        <v>46178</v>
      </c>
      <c r="I23" s="46">
        <v>253165</v>
      </c>
      <c r="J23" s="6" t="s">
        <v>78</v>
      </c>
      <c r="K23" s="19" t="s">
        <v>228</v>
      </c>
      <c r="L23" s="19" t="s">
        <v>35</v>
      </c>
      <c r="M23" s="19" t="s">
        <v>225</v>
      </c>
    </row>
    <row r="24" spans="1:13">
      <c r="A24" s="6">
        <v>21</v>
      </c>
      <c r="B24" s="29" t="s">
        <v>32</v>
      </c>
      <c r="C24" s="19" t="s">
        <v>68</v>
      </c>
      <c r="D24" s="30">
        <v>46337</v>
      </c>
      <c r="E24" s="31">
        <v>45000000</v>
      </c>
      <c r="F24" s="32"/>
      <c r="G24" s="33">
        <v>394.91777777777776</v>
      </c>
      <c r="H24" s="34">
        <v>46343</v>
      </c>
      <c r="I24" s="46">
        <v>177713</v>
      </c>
      <c r="J24" s="6">
        <v>2006</v>
      </c>
      <c r="K24" s="19" t="s">
        <v>228</v>
      </c>
      <c r="L24" s="19" t="s">
        <v>71</v>
      </c>
      <c r="M24" s="19" t="s">
        <v>222</v>
      </c>
    </row>
    <row r="25" spans="1:13">
      <c r="A25" s="6">
        <v>25</v>
      </c>
      <c r="B25" s="29" t="s">
        <v>32</v>
      </c>
      <c r="C25" s="19" t="s">
        <v>76</v>
      </c>
      <c r="D25" s="30">
        <v>46751</v>
      </c>
      <c r="E25" s="31">
        <v>42500000</v>
      </c>
      <c r="F25" s="32"/>
      <c r="G25" s="33">
        <v>457.34117647058821</v>
      </c>
      <c r="H25" s="34">
        <v>46393</v>
      </c>
      <c r="I25" s="46">
        <v>194370</v>
      </c>
      <c r="J25" s="6">
        <v>2008</v>
      </c>
      <c r="K25" s="19" t="s">
        <v>228</v>
      </c>
      <c r="L25" s="19" t="s">
        <v>35</v>
      </c>
      <c r="M25" s="19" t="s">
        <v>225</v>
      </c>
    </row>
  </sheetData>
  <autoFilter ref="B1:B19" xr:uid="{62330E34-A1B0-4FA8-983F-E259DD611713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G26"/>
  <sheetViews>
    <sheetView workbookViewId="0">
      <selection activeCell="G25" sqref="G25"/>
    </sheetView>
  </sheetViews>
  <sheetFormatPr defaultColWidth="8.85546875" defaultRowHeight="15"/>
  <cols>
    <col min="1" max="1" width="3.85546875" customWidth="1"/>
    <col min="2" max="2" width="27.7109375" customWidth="1"/>
    <col min="3" max="3" width="27.42578125" customWidth="1"/>
    <col min="4" max="4" width="30.140625" customWidth="1"/>
    <col min="5" max="5" width="4.42578125" customWidth="1"/>
    <col min="6" max="6" width="13.7109375" customWidth="1"/>
    <col min="7" max="7" width="24.7109375" customWidth="1"/>
  </cols>
  <sheetData>
    <row r="2" spans="1:7">
      <c r="A2" s="17" t="s">
        <v>1</v>
      </c>
      <c r="B2" s="17" t="s">
        <v>272</v>
      </c>
      <c r="C2" s="17" t="s">
        <v>273</v>
      </c>
      <c r="D2" s="17" t="s">
        <v>274</v>
      </c>
      <c r="E2" s="17">
        <v>1</v>
      </c>
      <c r="F2" s="6" t="s">
        <v>179</v>
      </c>
      <c r="G2" s="6" t="s">
        <v>95</v>
      </c>
    </row>
    <row r="3" spans="1:7">
      <c r="A3" s="11">
        <v>1</v>
      </c>
      <c r="B3" s="18" t="s">
        <v>275</v>
      </c>
      <c r="C3" s="19" t="s">
        <v>276</v>
      </c>
      <c r="D3" s="11" t="s">
        <v>277</v>
      </c>
      <c r="E3" s="17">
        <v>2</v>
      </c>
      <c r="F3" s="6" t="s">
        <v>179</v>
      </c>
      <c r="G3" s="6" t="s">
        <v>88</v>
      </c>
    </row>
    <row r="4" spans="1:7">
      <c r="A4" s="11">
        <v>2</v>
      </c>
      <c r="B4" s="18" t="s">
        <v>278</v>
      </c>
      <c r="C4" s="19" t="s">
        <v>104</v>
      </c>
      <c r="D4" s="11"/>
      <c r="E4" s="17">
        <v>3</v>
      </c>
      <c r="F4" s="6" t="s">
        <v>179</v>
      </c>
      <c r="G4" s="6" t="s">
        <v>91</v>
      </c>
    </row>
    <row r="5" spans="1:7">
      <c r="A5" s="11">
        <v>3</v>
      </c>
      <c r="B5" s="18" t="s">
        <v>279</v>
      </c>
      <c r="C5" s="11"/>
      <c r="D5" s="11"/>
      <c r="E5" s="17">
        <v>4</v>
      </c>
      <c r="F5" s="6" t="s">
        <v>179</v>
      </c>
      <c r="G5" s="6" t="s">
        <v>62</v>
      </c>
    </row>
    <row r="6" spans="1:7">
      <c r="A6" s="11">
        <v>4</v>
      </c>
      <c r="B6" s="18" t="s">
        <v>280</v>
      </c>
      <c r="C6" s="11" t="s">
        <v>281</v>
      </c>
      <c r="D6" s="11"/>
      <c r="E6" s="17">
        <v>5</v>
      </c>
      <c r="F6" s="6" t="s">
        <v>179</v>
      </c>
      <c r="G6" s="6" t="s">
        <v>97</v>
      </c>
    </row>
    <row r="7" spans="1:7">
      <c r="A7" s="11">
        <v>5</v>
      </c>
      <c r="B7" s="18" t="s">
        <v>282</v>
      </c>
      <c r="D7" s="11"/>
      <c r="E7" s="17">
        <v>6</v>
      </c>
      <c r="F7" s="6" t="s">
        <v>27</v>
      </c>
      <c r="G7" s="6" t="s">
        <v>37</v>
      </c>
    </row>
    <row r="8" spans="1:7">
      <c r="A8" s="11">
        <v>6</v>
      </c>
      <c r="B8" s="18" t="s">
        <v>283</v>
      </c>
      <c r="C8" s="19" t="s">
        <v>114</v>
      </c>
      <c r="D8" s="11"/>
      <c r="E8" s="17">
        <v>7</v>
      </c>
      <c r="F8" s="6" t="s">
        <v>27</v>
      </c>
      <c r="G8" s="6" t="s">
        <v>28</v>
      </c>
    </row>
    <row r="9" spans="1:7">
      <c r="A9" s="11">
        <v>7</v>
      </c>
      <c r="B9" s="18" t="s">
        <v>284</v>
      </c>
      <c r="C9" s="11" t="s">
        <v>285</v>
      </c>
      <c r="D9" s="11"/>
      <c r="E9" s="17">
        <v>8</v>
      </c>
      <c r="F9" s="6" t="s">
        <v>27</v>
      </c>
      <c r="G9" s="6" t="s">
        <v>48</v>
      </c>
    </row>
    <row r="10" spans="1:7">
      <c r="A10" s="11">
        <v>8</v>
      </c>
      <c r="B10" s="18" t="s">
        <v>286</v>
      </c>
      <c r="C10" s="19" t="s">
        <v>81</v>
      </c>
      <c r="D10" s="11"/>
      <c r="E10" s="17">
        <v>9</v>
      </c>
      <c r="F10" s="6" t="s">
        <v>27</v>
      </c>
      <c r="G10" s="6" t="s">
        <v>41</v>
      </c>
    </row>
    <row r="11" spans="1:7">
      <c r="A11" s="11">
        <v>9</v>
      </c>
      <c r="B11" s="18" t="s">
        <v>287</v>
      </c>
      <c r="C11" s="11"/>
      <c r="D11" s="11"/>
      <c r="E11" s="17">
        <v>10</v>
      </c>
      <c r="F11" s="6" t="s">
        <v>27</v>
      </c>
      <c r="G11" s="6" t="s">
        <v>288</v>
      </c>
    </row>
    <row r="12" spans="1:7">
      <c r="A12" s="11">
        <v>10</v>
      </c>
      <c r="B12" s="18" t="s">
        <v>289</v>
      </c>
      <c r="C12" s="11"/>
      <c r="D12" s="11"/>
      <c r="E12" s="17">
        <v>11</v>
      </c>
      <c r="F12" s="6" t="s">
        <v>44</v>
      </c>
      <c r="G12" s="6" t="s">
        <v>46</v>
      </c>
    </row>
    <row r="13" spans="1:7">
      <c r="A13" s="11">
        <v>11</v>
      </c>
      <c r="B13" s="18" t="s">
        <v>290</v>
      </c>
      <c r="C13" s="19" t="s">
        <v>93</v>
      </c>
      <c r="D13" s="11" t="s">
        <v>291</v>
      </c>
      <c r="E13" s="17">
        <v>12</v>
      </c>
      <c r="F13" s="6" t="s">
        <v>44</v>
      </c>
      <c r="G13" s="6" t="s">
        <v>53</v>
      </c>
    </row>
    <row r="14" spans="1:7">
      <c r="A14" s="11">
        <v>12</v>
      </c>
      <c r="B14" s="18" t="s">
        <v>292</v>
      </c>
      <c r="C14" s="11"/>
      <c r="D14" s="11"/>
      <c r="E14" s="17">
        <v>13</v>
      </c>
      <c r="F14" s="6" t="s">
        <v>44</v>
      </c>
      <c r="G14" s="6" t="s">
        <v>50</v>
      </c>
    </row>
    <row r="15" spans="1:7">
      <c r="A15" s="11">
        <v>13</v>
      </c>
      <c r="B15" s="18" t="s">
        <v>293</v>
      </c>
      <c r="C15" s="19" t="s">
        <v>110</v>
      </c>
      <c r="D15" s="11" t="s">
        <v>294</v>
      </c>
      <c r="E15" s="17">
        <v>14</v>
      </c>
      <c r="F15" s="6" t="s">
        <v>32</v>
      </c>
      <c r="G15" s="6" t="s">
        <v>68</v>
      </c>
    </row>
    <row r="16" spans="1:7">
      <c r="A16" s="11">
        <v>14</v>
      </c>
      <c r="B16" s="18" t="s">
        <v>295</v>
      </c>
      <c r="C16" s="11"/>
      <c r="D16" s="11"/>
      <c r="E16" s="17">
        <v>15</v>
      </c>
      <c r="F16" s="6" t="s">
        <v>32</v>
      </c>
      <c r="G16" s="6" t="s">
        <v>73</v>
      </c>
    </row>
    <row r="17" spans="1:7">
      <c r="A17" s="11">
        <v>15</v>
      </c>
      <c r="B17" s="18" t="s">
        <v>296</v>
      </c>
      <c r="C17" s="11"/>
      <c r="D17" s="11"/>
      <c r="E17" s="17">
        <v>16</v>
      </c>
      <c r="F17" s="6" t="s">
        <v>32</v>
      </c>
      <c r="G17" s="6" t="s">
        <v>76</v>
      </c>
    </row>
    <row r="18" spans="1:7">
      <c r="A18" s="11">
        <v>16</v>
      </c>
      <c r="B18" s="18" t="s">
        <v>297</v>
      </c>
      <c r="C18" s="19" t="s">
        <v>101</v>
      </c>
      <c r="D18" s="11"/>
      <c r="E18" s="17">
        <v>17</v>
      </c>
      <c r="F18" s="6" t="s">
        <v>32</v>
      </c>
      <c r="G18" s="6" t="s">
        <v>79</v>
      </c>
    </row>
    <row r="19" spans="1:7">
      <c r="A19" s="11">
        <v>17</v>
      </c>
      <c r="B19" s="18" t="s">
        <v>298</v>
      </c>
      <c r="C19" s="11"/>
      <c r="D19" s="11"/>
      <c r="E19" s="17">
        <v>18</v>
      </c>
      <c r="F19" s="6" t="s">
        <v>32</v>
      </c>
      <c r="G19" s="6" t="s">
        <v>33</v>
      </c>
    </row>
    <row r="20" spans="1:7">
      <c r="A20" s="11">
        <v>18</v>
      </c>
      <c r="B20" s="18" t="s">
        <v>299</v>
      </c>
      <c r="C20" s="11"/>
      <c r="D20" s="11"/>
      <c r="E20" s="17">
        <v>19</v>
      </c>
      <c r="F20" s="6" t="s">
        <v>15</v>
      </c>
      <c r="G20" s="6" t="s">
        <v>16</v>
      </c>
    </row>
    <row r="21" spans="1:7">
      <c r="A21" s="11">
        <v>19</v>
      </c>
      <c r="B21" s="18" t="s">
        <v>300</v>
      </c>
      <c r="C21" s="19" t="s">
        <v>103</v>
      </c>
      <c r="D21" s="11"/>
      <c r="E21" s="17">
        <v>20</v>
      </c>
      <c r="F21" s="6" t="s">
        <v>15</v>
      </c>
      <c r="G21" s="6" t="s">
        <v>21</v>
      </c>
    </row>
    <row r="22" spans="1:7">
      <c r="A22" s="11">
        <v>20</v>
      </c>
      <c r="B22" s="18" t="s">
        <v>301</v>
      </c>
      <c r="C22" s="11"/>
      <c r="D22" s="11"/>
      <c r="E22" s="17">
        <v>21</v>
      </c>
      <c r="F22" s="6" t="s">
        <v>15</v>
      </c>
      <c r="G22" s="6" t="s">
        <v>25</v>
      </c>
    </row>
    <row r="23" spans="1:7">
      <c r="A23" s="11">
        <v>21</v>
      </c>
      <c r="B23" s="18" t="s">
        <v>302</v>
      </c>
      <c r="C23" s="11"/>
      <c r="D23" s="11"/>
    </row>
    <row r="24" spans="1:7">
      <c r="A24" s="11">
        <v>22</v>
      </c>
      <c r="B24" s="18" t="s">
        <v>303</v>
      </c>
      <c r="C24" s="19" t="s">
        <v>99</v>
      </c>
      <c r="D24" s="11"/>
    </row>
    <row r="25" spans="1:7">
      <c r="A25" s="11">
        <v>23</v>
      </c>
      <c r="B25" s="18" t="s">
        <v>304</v>
      </c>
      <c r="C25" s="11" t="s">
        <v>285</v>
      </c>
      <c r="D25" s="11"/>
    </row>
    <row r="26" spans="1:7">
      <c r="A26" s="11">
        <v>24</v>
      </c>
      <c r="B26" s="18" t="s">
        <v>305</v>
      </c>
      <c r="C26" s="11" t="s">
        <v>285</v>
      </c>
      <c r="D26" s="11"/>
    </row>
  </sheetData>
  <pageMargins left="0.70866141732283505" right="0.70866141732283505" top="0.74803149606299202" bottom="0.74803149606299202" header="0.31496062992126" footer="0.31496062992126"/>
  <pageSetup paperSize="9" scale="98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P45"/>
  <sheetViews>
    <sheetView topLeftCell="D1" workbookViewId="0">
      <selection activeCell="K9" sqref="K9"/>
    </sheetView>
  </sheetViews>
  <sheetFormatPr defaultColWidth="9" defaultRowHeight="15"/>
  <cols>
    <col min="1" max="1" width="3.85546875" bestFit="1" customWidth="1"/>
    <col min="2" max="2" width="22.7109375" customWidth="1"/>
    <col min="3" max="3" width="27.28515625" customWidth="1"/>
    <col min="4" max="4" width="10" customWidth="1"/>
    <col min="5" max="5" width="30" customWidth="1"/>
    <col min="6" max="6" width="26.28515625" bestFit="1" customWidth="1"/>
    <col min="7" max="7" width="24.28515625" bestFit="1" customWidth="1"/>
    <col min="10" max="10" width="3.85546875" bestFit="1" customWidth="1"/>
    <col min="11" max="11" width="25.7109375" bestFit="1" customWidth="1"/>
    <col min="12" max="12" width="27.28515625" bestFit="1" customWidth="1"/>
    <col min="13" max="13" width="11.5703125" bestFit="1" customWidth="1"/>
    <col min="14" max="14" width="20.28515625" bestFit="1" customWidth="1"/>
    <col min="15" max="15" width="21" bestFit="1" customWidth="1"/>
    <col min="16" max="16" width="9.140625" bestFit="1" customWidth="1"/>
  </cols>
  <sheetData>
    <row r="1" spans="1:16" ht="28.5">
      <c r="A1" s="122" t="s">
        <v>342</v>
      </c>
      <c r="B1" s="122"/>
      <c r="C1" s="122"/>
      <c r="D1" s="122"/>
      <c r="E1" s="122"/>
      <c r="F1" s="122"/>
      <c r="J1" s="126" t="s">
        <v>334</v>
      </c>
      <c r="K1" s="126"/>
      <c r="L1" s="126"/>
      <c r="M1" s="126"/>
      <c r="N1" s="126"/>
      <c r="O1" s="126"/>
    </row>
    <row r="2" spans="1:16" ht="30">
      <c r="A2" s="6">
        <v>1</v>
      </c>
      <c r="B2" s="6" t="s">
        <v>250</v>
      </c>
      <c r="C2" s="6" t="s">
        <v>317</v>
      </c>
      <c r="D2" s="6" t="s">
        <v>320</v>
      </c>
      <c r="E2" s="7" t="s">
        <v>329</v>
      </c>
      <c r="F2" s="7" t="s">
        <v>343</v>
      </c>
      <c r="G2" s="101"/>
      <c r="J2" s="11">
        <v>1</v>
      </c>
      <c r="K2" s="11" t="s">
        <v>314</v>
      </c>
      <c r="L2" s="11" t="s">
        <v>319</v>
      </c>
      <c r="M2" s="11" t="s">
        <v>313</v>
      </c>
      <c r="N2" s="11" t="s">
        <v>335</v>
      </c>
      <c r="O2" s="12"/>
    </row>
    <row r="3" spans="1:16" ht="30">
      <c r="A3" s="6">
        <v>2</v>
      </c>
      <c r="B3" s="6" t="s">
        <v>95</v>
      </c>
      <c r="C3" s="6" t="s">
        <v>317</v>
      </c>
      <c r="D3" s="6" t="s">
        <v>320</v>
      </c>
      <c r="E3" s="7" t="s">
        <v>329</v>
      </c>
      <c r="F3" s="7" t="s">
        <v>343</v>
      </c>
      <c r="G3" s="101"/>
      <c r="J3" s="11">
        <v>2</v>
      </c>
      <c r="K3" s="11" t="s">
        <v>321</v>
      </c>
      <c r="L3" s="11" t="s">
        <v>319</v>
      </c>
      <c r="M3" s="11" t="s">
        <v>320</v>
      </c>
      <c r="N3" s="11"/>
    </row>
    <row r="4" spans="1:16" ht="30">
      <c r="A4" s="6">
        <v>3</v>
      </c>
      <c r="B4" s="6" t="s">
        <v>265</v>
      </c>
      <c r="C4" s="6" t="s">
        <v>380</v>
      </c>
      <c r="D4" s="6" t="s">
        <v>320</v>
      </c>
      <c r="E4" s="7" t="s">
        <v>332</v>
      </c>
      <c r="F4" s="7" t="s">
        <v>343</v>
      </c>
      <c r="G4" s="101"/>
      <c r="J4" s="11">
        <v>3</v>
      </c>
      <c r="K4" s="13" t="s">
        <v>322</v>
      </c>
      <c r="L4" s="13" t="s">
        <v>319</v>
      </c>
      <c r="M4" s="13" t="s">
        <v>320</v>
      </c>
      <c r="N4" s="13"/>
    </row>
    <row r="5" spans="1:16" ht="30">
      <c r="A5" s="6">
        <v>4</v>
      </c>
      <c r="B5" s="6" t="s">
        <v>97</v>
      </c>
      <c r="C5" s="6" t="s">
        <v>312</v>
      </c>
      <c r="D5" s="6" t="s">
        <v>320</v>
      </c>
      <c r="E5" s="7" t="s">
        <v>332</v>
      </c>
      <c r="F5" s="7" t="s">
        <v>343</v>
      </c>
      <c r="G5" s="102" t="s">
        <v>378</v>
      </c>
      <c r="J5" s="127" t="s">
        <v>334</v>
      </c>
      <c r="K5" s="127"/>
      <c r="L5" s="127"/>
      <c r="M5" s="127"/>
      <c r="N5" s="127"/>
      <c r="O5" s="127"/>
    </row>
    <row r="6" spans="1:16">
      <c r="J6" s="9" t="s">
        <v>1</v>
      </c>
      <c r="K6" s="9" t="s">
        <v>162</v>
      </c>
      <c r="L6" s="9" t="s">
        <v>307</v>
      </c>
      <c r="M6" s="9" t="s">
        <v>308</v>
      </c>
      <c r="N6" s="9" t="s">
        <v>326</v>
      </c>
      <c r="O6" s="9" t="s">
        <v>327</v>
      </c>
      <c r="P6" s="11"/>
    </row>
    <row r="7" spans="1:16" ht="45">
      <c r="J7" s="6" t="s">
        <v>381</v>
      </c>
      <c r="K7" s="6" t="s">
        <v>183</v>
      </c>
      <c r="L7" s="8" t="s">
        <v>336</v>
      </c>
      <c r="M7" s="6" t="s">
        <v>320</v>
      </c>
      <c r="N7" s="10" t="s">
        <v>337</v>
      </c>
      <c r="O7" s="7" t="s">
        <v>338</v>
      </c>
      <c r="P7" s="103" t="s">
        <v>379</v>
      </c>
    </row>
    <row r="8" spans="1:16" ht="30">
      <c r="J8" s="6">
        <v>2</v>
      </c>
      <c r="K8" s="6" t="s">
        <v>185</v>
      </c>
      <c r="L8" s="8" t="s">
        <v>336</v>
      </c>
      <c r="M8" s="6" t="s">
        <v>320</v>
      </c>
      <c r="N8" s="7" t="s">
        <v>339</v>
      </c>
      <c r="O8" s="7" t="s">
        <v>338</v>
      </c>
      <c r="P8" s="11"/>
    </row>
    <row r="9" spans="1:16" ht="60">
      <c r="J9" s="6">
        <v>3</v>
      </c>
      <c r="K9" s="6" t="s">
        <v>186</v>
      </c>
      <c r="L9" s="8" t="s">
        <v>340</v>
      </c>
      <c r="M9" s="6" t="s">
        <v>320</v>
      </c>
      <c r="N9" s="7" t="s">
        <v>329</v>
      </c>
      <c r="O9" s="7" t="s">
        <v>338</v>
      </c>
      <c r="P9" s="19" t="s">
        <v>320</v>
      </c>
    </row>
    <row r="10" spans="1:16" ht="60">
      <c r="J10" s="6">
        <v>4</v>
      </c>
      <c r="K10" s="6" t="s">
        <v>91</v>
      </c>
      <c r="L10" s="6" t="s">
        <v>317</v>
      </c>
      <c r="M10" s="6" t="s">
        <v>341</v>
      </c>
      <c r="N10" s="7" t="s">
        <v>329</v>
      </c>
      <c r="O10" s="7" t="s">
        <v>338</v>
      </c>
      <c r="P10" s="6" t="s">
        <v>320</v>
      </c>
    </row>
    <row r="11" spans="1:16" ht="60">
      <c r="J11" s="6">
        <v>5</v>
      </c>
      <c r="K11" s="6" t="s">
        <v>112</v>
      </c>
      <c r="L11" s="6" t="s">
        <v>317</v>
      </c>
      <c r="M11" s="6" t="s">
        <v>341</v>
      </c>
      <c r="N11" s="7" t="s">
        <v>329</v>
      </c>
      <c r="O11" s="7" t="s">
        <v>338</v>
      </c>
      <c r="P11" s="6" t="s">
        <v>320</v>
      </c>
    </row>
    <row r="14" spans="1:16">
      <c r="A14" s="122" t="s">
        <v>306</v>
      </c>
      <c r="B14" s="122"/>
      <c r="C14" s="122"/>
      <c r="D14" s="122"/>
      <c r="E14" s="122"/>
      <c r="F14" s="122"/>
    </row>
    <row r="15" spans="1:16">
      <c r="A15" s="11" t="s">
        <v>1</v>
      </c>
      <c r="B15" s="11" t="s">
        <v>162</v>
      </c>
      <c r="C15" s="11" t="s">
        <v>307</v>
      </c>
      <c r="D15" s="11" t="s">
        <v>308</v>
      </c>
      <c r="E15" s="11" t="s">
        <v>309</v>
      </c>
      <c r="F15" s="11" t="s">
        <v>310</v>
      </c>
    </row>
    <row r="16" spans="1:16">
      <c r="A16" s="11">
        <v>1</v>
      </c>
      <c r="B16" s="11" t="s">
        <v>311</v>
      </c>
      <c r="C16" s="11" t="s">
        <v>312</v>
      </c>
      <c r="D16" s="11" t="s">
        <v>313</v>
      </c>
      <c r="E16" s="14">
        <v>50000</v>
      </c>
      <c r="F16" s="14">
        <v>10000</v>
      </c>
    </row>
    <row r="17" spans="1:6">
      <c r="A17" s="11">
        <v>2</v>
      </c>
      <c r="B17" s="11" t="s">
        <v>314</v>
      </c>
      <c r="C17" s="11" t="s">
        <v>312</v>
      </c>
      <c r="D17" s="11" t="s">
        <v>313</v>
      </c>
      <c r="E17" s="11"/>
      <c r="F17" s="14">
        <v>10000</v>
      </c>
    </row>
    <row r="18" spans="1:6">
      <c r="A18" s="11">
        <v>3</v>
      </c>
      <c r="B18" s="11" t="s">
        <v>315</v>
      </c>
      <c r="C18" s="11" t="s">
        <v>312</v>
      </c>
      <c r="D18" s="11" t="s">
        <v>313</v>
      </c>
      <c r="E18" s="11"/>
      <c r="F18" s="14">
        <v>10000</v>
      </c>
    </row>
    <row r="19" spans="1:6">
      <c r="A19" s="11">
        <v>4</v>
      </c>
      <c r="B19" s="11" t="s">
        <v>88</v>
      </c>
      <c r="C19" s="11" t="s">
        <v>312</v>
      </c>
      <c r="D19" s="11" t="s">
        <v>313</v>
      </c>
      <c r="E19" s="11"/>
      <c r="F19" s="14">
        <v>10000</v>
      </c>
    </row>
    <row r="20" spans="1:6">
      <c r="A20" s="11">
        <v>5</v>
      </c>
      <c r="B20" s="11" t="s">
        <v>316</v>
      </c>
      <c r="C20" s="11" t="s">
        <v>317</v>
      </c>
      <c r="D20" s="11" t="s">
        <v>313</v>
      </c>
      <c r="E20" s="11"/>
      <c r="F20" s="11"/>
    </row>
    <row r="21" spans="1:6">
      <c r="A21" s="11">
        <v>6</v>
      </c>
      <c r="B21" s="11" t="s">
        <v>91</v>
      </c>
      <c r="C21" s="11" t="s">
        <v>317</v>
      </c>
      <c r="D21" s="11" t="s">
        <v>313</v>
      </c>
      <c r="E21" s="11"/>
      <c r="F21" s="11"/>
    </row>
    <row r="22" spans="1:6">
      <c r="A22" s="11">
        <v>7</v>
      </c>
      <c r="B22" s="11" t="s">
        <v>318</v>
      </c>
      <c r="C22" s="11" t="s">
        <v>319</v>
      </c>
      <c r="D22" s="11" t="s">
        <v>320</v>
      </c>
      <c r="E22" s="11"/>
      <c r="F22" s="11"/>
    </row>
    <row r="23" spans="1:6">
      <c r="A23" s="11">
        <v>8</v>
      </c>
      <c r="B23" s="11" t="s">
        <v>321</v>
      </c>
      <c r="C23" s="11" t="s">
        <v>319</v>
      </c>
      <c r="D23" s="11" t="s">
        <v>320</v>
      </c>
      <c r="E23" s="11"/>
      <c r="F23" s="11"/>
    </row>
    <row r="24" spans="1:6">
      <c r="A24" s="11">
        <v>9</v>
      </c>
      <c r="B24" s="11" t="s">
        <v>322</v>
      </c>
      <c r="C24" s="11" t="s">
        <v>319</v>
      </c>
      <c r="D24" s="11" t="s">
        <v>320</v>
      </c>
      <c r="E24" s="11"/>
      <c r="F24" s="11"/>
    </row>
    <row r="25" spans="1:6">
      <c r="A25" s="11">
        <v>10</v>
      </c>
      <c r="B25" s="11" t="s">
        <v>323</v>
      </c>
      <c r="C25" s="11" t="s">
        <v>312</v>
      </c>
      <c r="D25" s="11" t="s">
        <v>320</v>
      </c>
      <c r="E25" s="11"/>
      <c r="F25" s="11"/>
    </row>
    <row r="26" spans="1:6">
      <c r="A26" s="11">
        <v>11</v>
      </c>
      <c r="B26" s="11" t="s">
        <v>119</v>
      </c>
      <c r="C26" s="11" t="s">
        <v>324</v>
      </c>
      <c r="D26" s="11" t="s">
        <v>320</v>
      </c>
      <c r="E26" s="11"/>
      <c r="F26" s="11"/>
    </row>
    <row r="29" spans="1:6">
      <c r="A29" s="122" t="s">
        <v>325</v>
      </c>
      <c r="B29" s="122"/>
      <c r="C29" s="122"/>
      <c r="D29" s="122"/>
      <c r="E29" s="122"/>
      <c r="F29" s="122"/>
    </row>
    <row r="30" spans="1:6">
      <c r="A30" s="9" t="s">
        <v>1</v>
      </c>
      <c r="B30" s="9" t="s">
        <v>162</v>
      </c>
      <c r="C30" s="9" t="s">
        <v>307</v>
      </c>
      <c r="D30" s="9" t="s">
        <v>308</v>
      </c>
      <c r="E30" s="9" t="s">
        <v>326</v>
      </c>
      <c r="F30" s="9" t="s">
        <v>327</v>
      </c>
    </row>
    <row r="31" spans="1:6" ht="45">
      <c r="A31" s="9">
        <v>1</v>
      </c>
      <c r="B31" s="9" t="s">
        <v>250</v>
      </c>
      <c r="C31" s="9" t="s">
        <v>312</v>
      </c>
      <c r="D31" s="9" t="s">
        <v>320</v>
      </c>
      <c r="E31" s="15" t="s">
        <v>328</v>
      </c>
      <c r="F31" s="16" t="s">
        <v>329</v>
      </c>
    </row>
    <row r="32" spans="1:6">
      <c r="A32" s="9">
        <v>2</v>
      </c>
      <c r="B32" s="9" t="s">
        <v>256</v>
      </c>
      <c r="C32" s="9" t="s">
        <v>312</v>
      </c>
      <c r="D32" s="9" t="s">
        <v>320</v>
      </c>
      <c r="E32" s="15" t="s">
        <v>328</v>
      </c>
      <c r="F32" s="15" t="s">
        <v>330</v>
      </c>
    </row>
    <row r="33" spans="1:7" ht="30">
      <c r="A33" s="9">
        <v>3</v>
      </c>
      <c r="B33" s="9" t="s">
        <v>97</v>
      </c>
      <c r="C33" s="9" t="s">
        <v>312</v>
      </c>
      <c r="D33" s="9" t="s">
        <v>320</v>
      </c>
      <c r="E33" s="9" t="s">
        <v>331</v>
      </c>
      <c r="F33" s="16" t="s">
        <v>332</v>
      </c>
    </row>
    <row r="34" spans="1:7" ht="45">
      <c r="A34" s="9">
        <v>4</v>
      </c>
      <c r="B34" s="9" t="s">
        <v>95</v>
      </c>
      <c r="C34" s="9" t="s">
        <v>317</v>
      </c>
      <c r="D34" s="9" t="s">
        <v>320</v>
      </c>
      <c r="E34" s="16" t="s">
        <v>333</v>
      </c>
      <c r="F34" s="16" t="s">
        <v>329</v>
      </c>
    </row>
    <row r="35" spans="1:7" ht="30">
      <c r="A35" s="9">
        <v>5</v>
      </c>
      <c r="B35" s="9" t="s">
        <v>265</v>
      </c>
      <c r="C35" s="9" t="s">
        <v>319</v>
      </c>
      <c r="D35" s="9" t="s">
        <v>320</v>
      </c>
      <c r="E35" s="16" t="s">
        <v>332</v>
      </c>
      <c r="F35" s="16" t="s">
        <v>332</v>
      </c>
    </row>
    <row r="36" spans="1:7" ht="45">
      <c r="A36" s="9">
        <v>6</v>
      </c>
      <c r="B36" s="9" t="s">
        <v>119</v>
      </c>
      <c r="C36" s="9" t="s">
        <v>324</v>
      </c>
      <c r="D36" s="9" t="s">
        <v>320</v>
      </c>
      <c r="E36" s="16" t="s">
        <v>329</v>
      </c>
      <c r="F36" s="16" t="s">
        <v>329</v>
      </c>
    </row>
    <row r="39" spans="1:7" ht="30">
      <c r="A39" s="20" t="s">
        <v>1</v>
      </c>
      <c r="B39" s="20" t="s">
        <v>162</v>
      </c>
      <c r="C39" s="124" t="s">
        <v>247</v>
      </c>
      <c r="D39" s="125"/>
      <c r="E39" s="21" t="s">
        <v>248</v>
      </c>
      <c r="F39" s="21" t="s">
        <v>249</v>
      </c>
      <c r="G39" s="20" t="s">
        <v>14</v>
      </c>
    </row>
    <row r="40" spans="1:7" ht="30">
      <c r="A40" s="9">
        <v>1</v>
      </c>
      <c r="B40" s="9" t="s">
        <v>250</v>
      </c>
      <c r="C40" s="22" t="s">
        <v>251</v>
      </c>
      <c r="D40" s="6" t="s">
        <v>252</v>
      </c>
      <c r="E40" s="9" t="s">
        <v>253</v>
      </c>
      <c r="F40" s="23" t="s">
        <v>254</v>
      </c>
      <c r="G40" s="23" t="s">
        <v>255</v>
      </c>
    </row>
    <row r="41" spans="1:7" ht="30">
      <c r="A41" s="9">
        <v>2</v>
      </c>
      <c r="B41" s="9" t="s">
        <v>256</v>
      </c>
      <c r="C41" s="22" t="s">
        <v>257</v>
      </c>
      <c r="D41" s="6" t="s">
        <v>258</v>
      </c>
      <c r="E41" s="9" t="s">
        <v>253</v>
      </c>
      <c r="F41" s="9" t="s">
        <v>259</v>
      </c>
      <c r="G41" s="23" t="s">
        <v>255</v>
      </c>
    </row>
    <row r="42" spans="1:7">
      <c r="A42" s="9">
        <v>3</v>
      </c>
      <c r="B42" s="9" t="s">
        <v>260</v>
      </c>
      <c r="C42" s="9" t="s">
        <v>52</v>
      </c>
      <c r="D42" s="9" t="s">
        <v>52</v>
      </c>
      <c r="E42" s="9" t="s">
        <v>261</v>
      </c>
      <c r="F42" s="9" t="s">
        <v>259</v>
      </c>
      <c r="G42" s="9" t="s">
        <v>262</v>
      </c>
    </row>
    <row r="43" spans="1:7" ht="30">
      <c r="A43" s="9">
        <v>4</v>
      </c>
      <c r="B43" s="9" t="s">
        <v>95</v>
      </c>
      <c r="C43" s="9" t="s">
        <v>52</v>
      </c>
      <c r="D43" s="9" t="s">
        <v>52</v>
      </c>
      <c r="E43" s="23" t="s">
        <v>263</v>
      </c>
      <c r="F43" s="23" t="s">
        <v>264</v>
      </c>
      <c r="G43" s="9" t="s">
        <v>262</v>
      </c>
    </row>
    <row r="44" spans="1:7" ht="30">
      <c r="A44" s="9">
        <v>5</v>
      </c>
      <c r="B44" s="9" t="s">
        <v>265</v>
      </c>
      <c r="C44" s="22" t="s">
        <v>266</v>
      </c>
      <c r="D44" s="6" t="s">
        <v>267</v>
      </c>
      <c r="E44" s="23" t="s">
        <v>268</v>
      </c>
      <c r="F44" s="23" t="s">
        <v>268</v>
      </c>
      <c r="G44" s="9" t="s">
        <v>269</v>
      </c>
    </row>
    <row r="45" spans="1:7" ht="30">
      <c r="A45" s="9">
        <v>6</v>
      </c>
      <c r="B45" s="9" t="s">
        <v>119</v>
      </c>
      <c r="C45" s="9" t="s">
        <v>52</v>
      </c>
      <c r="D45" s="9" t="s">
        <v>52</v>
      </c>
      <c r="E45" s="9" t="s">
        <v>270</v>
      </c>
      <c r="F45" s="23" t="s">
        <v>264</v>
      </c>
      <c r="G45" s="23" t="s">
        <v>271</v>
      </c>
    </row>
  </sheetData>
  <mergeCells count="6">
    <mergeCell ref="A14:F14"/>
    <mergeCell ref="A29:F29"/>
    <mergeCell ref="C39:D39"/>
    <mergeCell ref="A1:F1"/>
    <mergeCell ref="J1:O1"/>
    <mergeCell ref="J5:O5"/>
  </mergeCells>
  <pageMargins left="0.70866141732283505" right="0.70866141732283505" top="0.74803149606299202" bottom="0.74803149606299202" header="0.31496062992126" footer="0.31496062992126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7"/>
  <sheetViews>
    <sheetView workbookViewId="0">
      <selection activeCell="D6" sqref="D6"/>
    </sheetView>
  </sheetViews>
  <sheetFormatPr defaultColWidth="9" defaultRowHeight="15"/>
  <cols>
    <col min="1" max="1" width="7.42578125" customWidth="1"/>
    <col min="2" max="2" width="17.7109375" customWidth="1"/>
    <col min="3" max="3" width="24.28515625" customWidth="1"/>
    <col min="4" max="4" width="20.7109375" customWidth="1"/>
    <col min="5" max="5" width="34.42578125" customWidth="1"/>
    <col min="6" max="6" width="21.42578125" customWidth="1"/>
    <col min="7" max="7" width="19.140625" customWidth="1"/>
  </cols>
  <sheetData>
    <row r="1" spans="1:7" ht="22.5">
      <c r="A1" s="128" t="s">
        <v>344</v>
      </c>
      <c r="B1" s="128"/>
      <c r="C1" s="128"/>
      <c r="D1" s="128"/>
      <c r="E1" s="128"/>
      <c r="F1" s="128"/>
      <c r="G1" s="128"/>
    </row>
    <row r="2" spans="1:7">
      <c r="A2" s="129" t="s">
        <v>345</v>
      </c>
      <c r="B2" s="129"/>
      <c r="C2" s="129"/>
      <c r="D2" s="129"/>
      <c r="E2" s="129"/>
      <c r="F2" s="129"/>
      <c r="G2" s="129"/>
    </row>
    <row r="3" spans="1:7" ht="60.75">
      <c r="A3" s="1" t="s">
        <v>161</v>
      </c>
      <c r="B3" s="1" t="s">
        <v>346</v>
      </c>
      <c r="C3" s="1" t="s">
        <v>347</v>
      </c>
      <c r="D3" s="2" t="s">
        <v>348</v>
      </c>
      <c r="E3" s="1" t="s">
        <v>349</v>
      </c>
      <c r="F3" s="1" t="s">
        <v>350</v>
      </c>
      <c r="G3" s="1" t="s">
        <v>351</v>
      </c>
    </row>
    <row r="4" spans="1:7" ht="20.25">
      <c r="A4" s="3">
        <v>1</v>
      </c>
      <c r="B4" s="3" t="s">
        <v>352</v>
      </c>
      <c r="C4" s="3" t="s">
        <v>353</v>
      </c>
      <c r="D4" s="4" t="s">
        <v>354</v>
      </c>
      <c r="E4" s="4" t="s">
        <v>355</v>
      </c>
      <c r="F4" s="3" t="s">
        <v>356</v>
      </c>
      <c r="G4" s="3">
        <v>64</v>
      </c>
    </row>
    <row r="5" spans="1:7" ht="20.25">
      <c r="A5" s="3">
        <f>A4+1</f>
        <v>2</v>
      </c>
      <c r="B5" s="3" t="s">
        <v>35</v>
      </c>
      <c r="C5" s="3" t="s">
        <v>357</v>
      </c>
      <c r="D5" s="97" t="s">
        <v>358</v>
      </c>
      <c r="E5" s="4" t="s">
        <v>359</v>
      </c>
      <c r="F5" s="3" t="s">
        <v>360</v>
      </c>
      <c r="G5" s="3">
        <v>66</v>
      </c>
    </row>
    <row r="6" spans="1:7" ht="20.25">
      <c r="A6" s="3">
        <f>A5+1</f>
        <v>3</v>
      </c>
      <c r="B6" s="3" t="s">
        <v>19</v>
      </c>
      <c r="C6" s="3" t="s">
        <v>361</v>
      </c>
      <c r="D6" s="97" t="s">
        <v>362</v>
      </c>
      <c r="E6" s="4" t="s">
        <v>363</v>
      </c>
      <c r="F6" s="3" t="s">
        <v>364</v>
      </c>
      <c r="G6" s="3">
        <v>65</v>
      </c>
    </row>
    <row r="7" spans="1:7" ht="20.25">
      <c r="A7" s="3">
        <f>A6+1</f>
        <v>4</v>
      </c>
      <c r="B7" s="3" t="s">
        <v>71</v>
      </c>
      <c r="C7" s="3" t="s">
        <v>365</v>
      </c>
      <c r="D7" s="4" t="s">
        <v>366</v>
      </c>
      <c r="E7" s="4" t="s">
        <v>367</v>
      </c>
      <c r="F7" s="3" t="s">
        <v>368</v>
      </c>
      <c r="G7" s="3">
        <v>63</v>
      </c>
    </row>
  </sheetData>
  <mergeCells count="2">
    <mergeCell ref="A1:G1"/>
    <mergeCell ref="A2:G2"/>
  </mergeCells>
  <hyperlinks>
    <hyperlink ref="A2" r:id="rId1" xr:uid="{00000000-0004-0000-0C00-000000000000}"/>
    <hyperlink ref="E6" r:id="rId2" xr:uid="{00000000-0004-0000-0C00-000001000000}"/>
    <hyperlink ref="D6" r:id="rId3" xr:uid="{00000000-0004-0000-0C00-000002000000}"/>
    <hyperlink ref="E5" r:id="rId4" xr:uid="{00000000-0004-0000-0C00-000003000000}"/>
    <hyperlink ref="D5" r:id="rId5" xr:uid="{00000000-0004-0000-0C00-000004000000}"/>
    <hyperlink ref="E4" r:id="rId6" xr:uid="{00000000-0004-0000-0C00-000005000000}"/>
    <hyperlink ref="E7" r:id="rId7" xr:uid="{00000000-0004-0000-0C00-000006000000}"/>
    <hyperlink ref="D7" r:id="rId8" xr:uid="{00000000-0004-0000-0C00-000007000000}"/>
    <hyperlink ref="D4" r:id="rId9" xr:uid="{00000000-0004-0000-0C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SURVEY REPORT </vt:lpstr>
      <vt:lpstr>IRS SURVEY</vt:lpstr>
      <vt:lpstr>Sheet2</vt:lpstr>
      <vt:lpstr>IRS ID &amp; PASSWORD</vt:lpstr>
      <vt:lpstr>VHF LICENSE</vt:lpstr>
      <vt:lpstr> CURRENT LOCATION AND REGISTRY </vt:lpstr>
      <vt:lpstr>Sheet1</vt:lpstr>
      <vt:lpstr>INSURANCE AND VALUATION</vt:lpstr>
      <vt:lpstr>Sheet3</vt:lpstr>
      <vt:lpstr>Sheet4</vt:lpstr>
      <vt:lpstr>Sheet7</vt:lpstr>
      <vt:lpstr>Sheet8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ASTC astc</cp:lastModifiedBy>
  <cp:lastPrinted>2026-05-29T13:59:45Z</cp:lastPrinted>
  <dcterms:created xsi:type="dcterms:W3CDTF">2021-01-25T06:58:00Z</dcterms:created>
  <dcterms:modified xsi:type="dcterms:W3CDTF">2026-06-09T14:48:57Z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915BF0D324C04699A81E539CAACD745B_12</vt:lpwstr>
  </property>
  <property fmtid="{D5CDD505-2E9C-101B-9397-08002B2CF9AE}" pid="3" name="KSOProductBuildVer">
    <vt:lpwstr>1033-12.2.0.20782</vt:lpwstr>
  </property>
</Properties>
</file>